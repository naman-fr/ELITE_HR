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dia Employee Database" sheetId="2" state="visible" r:id="rId4"/>
    <sheet name="US Employee Database" sheetId="3" state="visible" r:id="rId5"/>
    <sheet name="RM Data" sheetId="4" state="visible" r:id="rId6"/>
    <sheet name="Finance" sheetId="5" state="visible" r:id="rId7"/>
    <sheet name="Productivity" sheetId="6" state="visible" r:id="rId8"/>
    <sheet name="Risk Report" sheetId="7" state="visible" r:id="rId9"/>
    <sheet name="Offboarded Resources" sheetId="8" state="visible" r:id="rId10"/>
    <sheet name="CALC" sheetId="9" state="hidden" r:id="rId11"/>
  </sheets>
  <definedNames>
    <definedName function="false" hidden="false" localSheetId="0" name="_xlnm.Print_Area" vbProcedure="false">Dashboard!$A$1:$L$110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<sst xmlns="http://schemas.openxmlformats.org/spreadsheetml/2006/main" count="3846" uniqueCount="460">
  <si>
    <t xml:space="preserve">🏢  HR ANALYTICS DASHBOARD</t>
  </si>
  <si>
    <t xml:space="preserve">India &amp; US Operations  |  Live-Linked Executive Reporting  |  Auto-Updated on Data Change</t>
  </si>
  <si>
    <t xml:space="preserve">▌  WORKFORCE SUMMARY</t>
  </si>
  <si>
    <t xml:space="preserve">TOTAL HEADCOUNT</t>
  </si>
  <si>
    <t xml:space="preserve">INDIA EMPLOYEES</t>
  </si>
  <si>
    <t xml:space="preserve">US EMPLOYEES</t>
  </si>
  <si>
    <t xml:space="preserve">CONFIRMED EMPLOYEES</t>
  </si>
  <si>
    <t xml:space="preserve">UNDER PROBATION</t>
  </si>
  <si>
    <t xml:space="preserve">India + US Combined</t>
  </si>
  <si>
    <t xml:space="preserve">Active workforce</t>
  </si>
  <si>
    <t xml:space="preserve">Full-time confirmed</t>
  </si>
  <si>
    <t xml:space="preserve">Pending confirmation</t>
  </si>
  <si>
    <t xml:space="preserve">TOTAL INTERNS</t>
  </si>
  <si>
    <t xml:space="preserve">PROBATION DUE ≤30 DAYS</t>
  </si>
  <si>
    <t xml:space="preserve">INTERN LWDs ≤45 DAYS</t>
  </si>
  <si>
    <t xml:space="preserve">HIGH RISK EMPLOYEES</t>
  </si>
  <si>
    <t xml:space="preserve">AVG PRODUCTIVITY (HRS/DAY)</t>
  </si>
  <si>
    <t xml:space="preserve">India + US interns</t>
  </si>
  <si>
    <t xml:space="preserve">Confirmations due soon</t>
  </si>
  <si>
    <t xml:space="preserve">Exiting interns</t>
  </si>
  <si>
    <t xml:space="preserve">Risk register - High</t>
  </si>
  <si>
    <t xml:space="preserve">Overall avg hrs/day</t>
  </si>
  <si>
    <t xml:space="preserve">▌  ATTRITION ANALYTICS  |  Auto-calculated from Offboarded Resources</t>
  </si>
  <si>
    <t xml:space="preserve">QUARTER</t>
  </si>
  <si>
    <t xml:space="preserve">TOTAL EXITS</t>
  </si>
  <si>
    <t xml:space="preserve">ATTRITION RATE</t>
  </si>
  <si>
    <t xml:space="preserve">INDIA EXITS</t>
  </si>
  <si>
    <t xml:space="preserve">US EXITS</t>
  </si>
  <si>
    <t xml:space="preserve">YTD TOTAL</t>
  </si>
  <si>
    <t xml:space="preserve">DEPARTMENT</t>
  </si>
  <si>
    <t xml:space="preserve">EXITS 2025</t>
  </si>
  <si>
    <t xml:space="preserve">% OF TOTAL</t>
  </si>
  <si>
    <t xml:space="preserve">Q1-2025</t>
  </si>
  <si>
    <t xml:space="preserve">Data Science</t>
  </si>
  <si>
    <t xml:space="preserve">Q2-2025</t>
  </si>
  <si>
    <t xml:space="preserve">Design</t>
  </si>
  <si>
    <t xml:space="preserve">Q3-2025</t>
  </si>
  <si>
    <t xml:space="preserve">Engineering</t>
  </si>
  <si>
    <t xml:space="preserve">Q4-2025</t>
  </si>
  <si>
    <t xml:space="preserve">Finance</t>
  </si>
  <si>
    <t xml:space="preserve">TOTAL 2025</t>
  </si>
  <si>
    <t xml:space="preserve">HR</t>
  </si>
  <si>
    <t xml:space="preserve">Legal</t>
  </si>
  <si>
    <t xml:space="preserve">Marketing</t>
  </si>
  <si>
    <t xml:space="preserve">Operations</t>
  </si>
  <si>
    <t xml:space="preserve">Product</t>
  </si>
  <si>
    <t xml:space="preserve">Sales</t>
  </si>
  <si>
    <t xml:space="preserve">▌  PROBATION CONFIRMATION ALERTS  |  Employees with confirmation due ≤ 60 days</t>
  </si>
  <si>
    <t xml:space="preserve">EMP ID</t>
  </si>
  <si>
    <t xml:space="preserve">EMPLOYEE NAME</t>
  </si>
  <si>
    <t xml:space="preserve">REGION</t>
  </si>
  <si>
    <t xml:space="preserve">DATE OF JOINING</t>
  </si>
  <si>
    <t xml:space="preserve">PROBATION END</t>
  </si>
  <si>
    <t xml:space="preserve">DAYS REMAINING</t>
  </si>
  <si>
    <t xml:space="preserve">STATUS</t>
  </si>
  <si>
    <t xml:space="preserve">IN1018</t>
  </si>
  <si>
    <t xml:space="preserve">India</t>
  </si>
  <si>
    <t xml:space="preserve">IN1045</t>
  </si>
  <si>
    <t xml:space="preserve">IN1047</t>
  </si>
  <si>
    <t xml:space="preserve">IN1054</t>
  </si>
  <si>
    <t xml:space="preserve">IN1056</t>
  </si>
  <si>
    <t xml:space="preserve">US2019</t>
  </si>
  <si>
    <t xml:space="preserve">US</t>
  </si>
  <si>
    <t xml:space="preserve">US2020</t>
  </si>
  <si>
    <t xml:space="preserve">▌  INTERN LAST WORKING DAY ALERTS  |  Interns departing within 45 days</t>
  </si>
  <si>
    <t xml:space="preserve">INTERN NAME</t>
  </si>
  <si>
    <t xml:space="preserve">REPORTING MANAGER</t>
  </si>
  <si>
    <t xml:space="preserve">LAST WORKING DAY</t>
  </si>
  <si>
    <t xml:space="preserve">ALERT LEVEL</t>
  </si>
  <si>
    <t xml:space="preserve">IN1020</t>
  </si>
  <si>
    <t xml:space="preserve">IN1024</t>
  </si>
  <si>
    <t xml:space="preserve">IN1036</t>
  </si>
  <si>
    <t xml:space="preserve">IN1065</t>
  </si>
  <si>
    <t xml:space="preserve">IN1048</t>
  </si>
  <si>
    <t xml:space="preserve">IN1046</t>
  </si>
  <si>
    <t xml:space="preserve">US2011</t>
  </si>
  <si>
    <t xml:space="preserve">▌  RISK REGISTER SUMMARY  |  Auto-updated from Risk Report tab</t>
  </si>
  <si>
    <t xml:space="preserve">EMPLOYEE</t>
  </si>
  <si>
    <t xml:space="preserve">RISK CATEGORY</t>
  </si>
  <si>
    <t xml:space="preserve">RISK LEVEL</t>
  </si>
  <si>
    <t xml:space="preserve">MITIGATION</t>
  </si>
  <si>
    <t xml:space="preserve">IN1042</t>
  </si>
  <si>
    <t xml:space="preserve">US2008</t>
  </si>
  <si>
    <t xml:space="preserve">US2014</t>
  </si>
  <si>
    <t xml:space="preserve">IN1039</t>
  </si>
  <si>
    <t xml:space="preserve">US2018</t>
  </si>
  <si>
    <t xml:space="preserve">US2004</t>
  </si>
  <si>
    <t xml:space="preserve">IN1019</t>
  </si>
  <si>
    <t xml:space="preserve">US2002</t>
  </si>
  <si>
    <t xml:space="preserve">IN1040</t>
  </si>
  <si>
    <t xml:space="preserve">IN1021</t>
  </si>
  <si>
    <t xml:space="preserve">IN1000</t>
  </si>
  <si>
    <t xml:space="preserve">IN1031</t>
  </si>
  <si>
    <t xml:space="preserve">IN1028</t>
  </si>
  <si>
    <t xml:space="preserve">▌  FINANCIAL SUMMARY  |  Total CTC Analysis by Region &amp; Department</t>
  </si>
  <si>
    <t xml:space="preserve">TOTAL ANNUAL CTC (INR)</t>
  </si>
  <si>
    <t xml:space="preserve">TOTAL MONTHLY CTC (INR)</t>
  </si>
  <si>
    <t xml:space="preserve">TOTAL ANNUAL CTC (USD)</t>
  </si>
  <si>
    <t xml:space="preserve">TOTAL MONTHLY CTC (USD)</t>
  </si>
  <si>
    <t xml:space="preserve">INDIA CTC SHARE</t>
  </si>
  <si>
    <t xml:space="preserve">Live from Finance tab</t>
  </si>
  <si>
    <t xml:space="preserve">INDIA</t>
  </si>
  <si>
    <t xml:space="preserve">TOTAL</t>
  </si>
  <si>
    <t xml:space="preserve">INDIA (INR)</t>
  </si>
  <si>
    <t xml:space="preserve">US (USD)</t>
  </si>
  <si>
    <t xml:space="preserve">COMBINED (USD)</t>
  </si>
  <si>
    <t xml:space="preserve">% OF PAYROLL</t>
  </si>
  <si>
    <t xml:space="preserve">100.0%</t>
  </si>
  <si>
    <t xml:space="preserve">▌  PRODUCTIVITY OVERVIEW  |  Avg Hrs/Day Analysis — Department &amp; Region</t>
  </si>
  <si>
    <t xml:space="preserve">OVERALL AVG (HRS/DAY)</t>
  </si>
  <si>
    <t xml:space="preserve">INDIA AVG (HRS/DAY)</t>
  </si>
  <si>
    <t xml:space="preserve">US AVG (HRS/DAY)</t>
  </si>
  <si>
    <t xml:space="preserve">BELOW 8 HRS FLAG</t>
  </si>
  <si>
    <t xml:space="preserve">ABOVE 9 HRS HIGH PERF</t>
  </si>
  <si>
    <t xml:space="preserve">Avg hrs/day • 2025</t>
  </si>
  <si>
    <t xml:space="preserve">INDIA AVG (HRS)</t>
  </si>
  <si>
    <t xml:space="preserve">US AVG (HRS)</t>
  </si>
  <si>
    <t xml:space="preserve">OVERALL AVG</t>
  </si>
  <si>
    <t xml:space="preserve">BELOW 8 HRS COUNT</t>
  </si>
  <si>
    <t xml:space="preserve">FLAG</t>
  </si>
  <si>
    <t xml:space="preserve">HR Analytics Dashboard  |  Formulas auto-recalculate on data change  |  "CALC" sheet contains helper data  |  Generated: 12 May 2026</t>
  </si>
  <si>
    <t xml:space="preserve">Employee ID</t>
  </si>
  <si>
    <t xml:space="preserve">Employee Name</t>
  </si>
  <si>
    <t xml:space="preserve">Department</t>
  </si>
  <si>
    <t xml:space="preserve">Designation</t>
  </si>
  <si>
    <t xml:space="preserve">Reporting Manager</t>
  </si>
  <si>
    <t xml:space="preserve">Skillset</t>
  </si>
  <si>
    <t xml:space="preserve">Date of Joining</t>
  </si>
  <si>
    <t xml:space="preserve">Employment Status</t>
  </si>
  <si>
    <t xml:space="preserve">Last Working Day (Interns Only)</t>
  </si>
  <si>
    <t xml:space="preserve">Priya Martin</t>
  </si>
  <si>
    <t xml:space="preserve">Talent Acquisition</t>
  </si>
  <si>
    <t xml:space="preserve">Arjun Joshi</t>
  </si>
  <si>
    <t xml:space="preserve">Recruitment, HRIS, Labor Law, L&amp;D</t>
  </si>
  <si>
    <t xml:space="preserve">Confirmed</t>
  </si>
  <si>
    <t xml:space="preserve">N/A</t>
  </si>
  <si>
    <t xml:space="preserve">IN1001</t>
  </si>
  <si>
    <t xml:space="preserve">Gaurav Garcia</t>
  </si>
  <si>
    <t xml:space="preserve">Finance Analyst</t>
  </si>
  <si>
    <t xml:space="preserve">Melissa Harris</t>
  </si>
  <si>
    <t xml:space="preserve">Excel, SAP, Financial Modeling, GAAP</t>
  </si>
  <si>
    <t xml:space="preserve">IN1002</t>
  </si>
  <si>
    <t xml:space="preserve">Swathi Reddy</t>
  </si>
  <si>
    <t xml:space="preserve">HR Business Partner</t>
  </si>
  <si>
    <t xml:space="preserve">IN1003</t>
  </si>
  <si>
    <t xml:space="preserve">Rohan Williams</t>
  </si>
  <si>
    <t xml:space="preserve">Sales Executive</t>
  </si>
  <si>
    <t xml:space="preserve">Anjali Garcia</t>
  </si>
  <si>
    <t xml:space="preserve">CRM, Negotiation, B2B Sales, Salesforce</t>
  </si>
  <si>
    <t xml:space="preserve">IN1004</t>
  </si>
  <si>
    <t xml:space="preserve">Sonal Jones</t>
  </si>
  <si>
    <t xml:space="preserve">Product Manager</t>
  </si>
  <si>
    <t xml:space="preserve">Priya Menon</t>
  </si>
  <si>
    <t xml:space="preserve">Roadmapping, Agile, Jira, Analytics</t>
  </si>
  <si>
    <t xml:space="preserve">IN1005</t>
  </si>
  <si>
    <t xml:space="preserve">Kiran Verma</t>
  </si>
  <si>
    <t xml:space="preserve">Senior Software Engineer</t>
  </si>
  <si>
    <t xml:space="preserve">William Nair</t>
  </si>
  <si>
    <t xml:space="preserve">Python, Java, React, Node.js, AWS</t>
  </si>
  <si>
    <t xml:space="preserve">IN1006</t>
  </si>
  <si>
    <t xml:space="preserve">Arun Menon</t>
  </si>
  <si>
    <t xml:space="preserve">Ops Manager</t>
  </si>
  <si>
    <t xml:space="preserve">Priya Mehta</t>
  </si>
  <si>
    <t xml:space="preserve">Process Improvement, ERP, Six Sigma</t>
  </si>
  <si>
    <t xml:space="preserve">IN1007</t>
  </si>
  <si>
    <t xml:space="preserve">Divya Menon</t>
  </si>
  <si>
    <t xml:space="preserve">Product Analyst</t>
  </si>
  <si>
    <t xml:space="preserve">IN1008</t>
  </si>
  <si>
    <t xml:space="preserve">Rina Jones</t>
  </si>
  <si>
    <t xml:space="preserve">Finance Manager</t>
  </si>
  <si>
    <t xml:space="preserve">IN1009</t>
  </si>
  <si>
    <t xml:space="preserve">Melissa Smith</t>
  </si>
  <si>
    <t xml:space="preserve">Software Engineer</t>
  </si>
  <si>
    <t xml:space="preserve">IN1010</t>
  </si>
  <si>
    <t xml:space="preserve">Vikram Pillai</t>
  </si>
  <si>
    <t xml:space="preserve">ML Engineer</t>
  </si>
  <si>
    <t xml:space="preserve">Michael Martinez</t>
  </si>
  <si>
    <t xml:space="preserve">Python, R, TensorFlow, SQL, Tableau</t>
  </si>
  <si>
    <t xml:space="preserve">IN1011</t>
  </si>
  <si>
    <t xml:space="preserve">Akash Taylor</t>
  </si>
  <si>
    <t xml:space="preserve">UI Designer</t>
  </si>
  <si>
    <t xml:space="preserve">Pooja Shah</t>
  </si>
  <si>
    <t xml:space="preserve">Figma, Adobe XD, Sketch, Prototyping</t>
  </si>
  <si>
    <t xml:space="preserve">IN1012</t>
  </si>
  <si>
    <t xml:space="preserve">Rebecca Garcia</t>
  </si>
  <si>
    <t xml:space="preserve">Content Writer</t>
  </si>
  <si>
    <t xml:space="preserve">Chitra Kumar</t>
  </si>
  <si>
    <t xml:space="preserve">SEO, Content, HubSpot, Social Media</t>
  </si>
  <si>
    <t xml:space="preserve">IN1013</t>
  </si>
  <si>
    <t xml:space="preserve">Michael Thomas</t>
  </si>
  <si>
    <t xml:space="preserve">IN1014</t>
  </si>
  <si>
    <t xml:space="preserve">Chitra Martinez</t>
  </si>
  <si>
    <t xml:space="preserve">IN1015</t>
  </si>
  <si>
    <t xml:space="preserve">Jessica Sharma</t>
  </si>
  <si>
    <t xml:space="preserve">IN1016</t>
  </si>
  <si>
    <t xml:space="preserve">Nikhil Wilson</t>
  </si>
  <si>
    <t xml:space="preserve">Senior Designer</t>
  </si>
  <si>
    <t xml:space="preserve">IN1017</t>
  </si>
  <si>
    <t xml:space="preserve">Michael Joshi</t>
  </si>
  <si>
    <t xml:space="preserve">Reema Gupta</t>
  </si>
  <si>
    <t xml:space="preserve">Legal Manager</t>
  </si>
  <si>
    <t xml:space="preserve">Divya Shah</t>
  </si>
  <si>
    <t xml:space="preserve">Contract Review, Compliance, IPR</t>
  </si>
  <si>
    <t xml:space="preserve">Under Probation</t>
  </si>
  <si>
    <t xml:space="preserve">Emily Patel</t>
  </si>
  <si>
    <t xml:space="preserve">Associate PM</t>
  </si>
  <si>
    <t xml:space="preserve">Akash Thompson</t>
  </si>
  <si>
    <t xml:space="preserve">Intern</t>
  </si>
  <si>
    <t xml:space="preserve">Laura Iyer</t>
  </si>
  <si>
    <t xml:space="preserve">IN1022</t>
  </si>
  <si>
    <t xml:space="preserve">Nandini Martinez</t>
  </si>
  <si>
    <t xml:space="preserve">Marketing Manager</t>
  </si>
  <si>
    <t xml:space="preserve">IN1023</t>
  </si>
  <si>
    <t xml:space="preserve">Lakshmi Davis</t>
  </si>
  <si>
    <t xml:space="preserve">Senior AE</t>
  </si>
  <si>
    <t xml:space="preserve">Amit Verma</t>
  </si>
  <si>
    <t xml:space="preserve">IN1025</t>
  </si>
  <si>
    <t xml:space="preserve">Aditya Verma</t>
  </si>
  <si>
    <t xml:space="preserve">IN1026</t>
  </si>
  <si>
    <t xml:space="preserve">Pooja Menon</t>
  </si>
  <si>
    <t xml:space="preserve">Operations Analyst</t>
  </si>
  <si>
    <t xml:space="preserve">IN1027</t>
  </si>
  <si>
    <t xml:space="preserve">Pooja Anderson</t>
  </si>
  <si>
    <t xml:space="preserve">Marketing Analyst</t>
  </si>
  <si>
    <t xml:space="preserve">Chitra Miller</t>
  </si>
  <si>
    <t xml:space="preserve">IN1029</t>
  </si>
  <si>
    <t xml:space="preserve">Bhavna Johnson</t>
  </si>
  <si>
    <t xml:space="preserve">IN1030</t>
  </si>
  <si>
    <t xml:space="preserve">Chitra Bhat</t>
  </si>
  <si>
    <t xml:space="preserve">Sneha Harris</t>
  </si>
  <si>
    <t xml:space="preserve">IN1032</t>
  </si>
  <si>
    <t xml:space="preserve">John Pillai</t>
  </si>
  <si>
    <t xml:space="preserve">IN1033</t>
  </si>
  <si>
    <t xml:space="preserve">Ravi Taylor</t>
  </si>
  <si>
    <t xml:space="preserve">IN1034</t>
  </si>
  <si>
    <t xml:space="preserve">Kiran Chauhan</t>
  </si>
  <si>
    <t xml:space="preserve">IN1035</t>
  </si>
  <si>
    <t xml:space="preserve">Harish Singh</t>
  </si>
  <si>
    <t xml:space="preserve">Tech Lead</t>
  </si>
  <si>
    <t xml:space="preserve">Michael Mehta</t>
  </si>
  <si>
    <t xml:space="preserve">IN1037</t>
  </si>
  <si>
    <t xml:space="preserve">HR Executive</t>
  </si>
  <si>
    <t xml:space="preserve">IN1038</t>
  </si>
  <si>
    <t xml:space="preserve">Charles Garcia</t>
  </si>
  <si>
    <t xml:space="preserve">Ravi Davis</t>
  </si>
  <si>
    <t xml:space="preserve">UX Designer</t>
  </si>
  <si>
    <t xml:space="preserve">Aditya Taylor</t>
  </si>
  <si>
    <t xml:space="preserve">Data Analyst</t>
  </si>
  <si>
    <t xml:space="preserve">IN1041</t>
  </si>
  <si>
    <t xml:space="preserve">Michael Tiwari</t>
  </si>
  <si>
    <t xml:space="preserve">Suresh Moore</t>
  </si>
  <si>
    <t xml:space="preserve">IN1043</t>
  </si>
  <si>
    <t xml:space="preserve">Charles Martin</t>
  </si>
  <si>
    <t xml:space="preserve">IN1044</t>
  </si>
  <si>
    <t xml:space="preserve">Akash Joshi</t>
  </si>
  <si>
    <t xml:space="preserve">Associate Counsel</t>
  </si>
  <si>
    <t xml:space="preserve">Deepa Pillai</t>
  </si>
  <si>
    <t xml:space="preserve">Senior Analyst</t>
  </si>
  <si>
    <t xml:space="preserve">Chitra Menon</t>
  </si>
  <si>
    <t xml:space="preserve">Rebecca Moore</t>
  </si>
  <si>
    <t xml:space="preserve">Akash Reddy</t>
  </si>
  <si>
    <t xml:space="preserve">IN1049</t>
  </si>
  <si>
    <t xml:space="preserve">Chitra Iyer</t>
  </si>
  <si>
    <t xml:space="preserve">IN1050</t>
  </si>
  <si>
    <t xml:space="preserve">Pooja Joshi</t>
  </si>
  <si>
    <t xml:space="preserve">Account Manager</t>
  </si>
  <si>
    <t xml:space="preserve">IN1051</t>
  </si>
  <si>
    <t xml:space="preserve">Nandini Gupta</t>
  </si>
  <si>
    <t xml:space="preserve">IN1052</t>
  </si>
  <si>
    <t xml:space="preserve">Ishita Desai</t>
  </si>
  <si>
    <t xml:space="preserve">IN1053</t>
  </si>
  <si>
    <t xml:space="preserve">Varun Anderson</t>
  </si>
  <si>
    <t xml:space="preserve">Amit Patel</t>
  </si>
  <si>
    <t xml:space="preserve">IN1055</t>
  </si>
  <si>
    <t xml:space="preserve">Amanda Jackson</t>
  </si>
  <si>
    <t xml:space="preserve">Akash Tiwari</t>
  </si>
  <si>
    <t xml:space="preserve">IN1057</t>
  </si>
  <si>
    <t xml:space="preserve">Chitra Williams</t>
  </si>
  <si>
    <t xml:space="preserve">IN1058</t>
  </si>
  <si>
    <t xml:space="preserve">Kiran Tiwari</t>
  </si>
  <si>
    <t xml:space="preserve">IN1059</t>
  </si>
  <si>
    <t xml:space="preserve">Mark Rao</t>
  </si>
  <si>
    <t xml:space="preserve">IN1060</t>
  </si>
  <si>
    <t xml:space="preserve">Varun Nair</t>
  </si>
  <si>
    <t xml:space="preserve">IN1061</t>
  </si>
  <si>
    <t xml:space="preserve">Thomas Chauhan</t>
  </si>
  <si>
    <t xml:space="preserve">IN1062</t>
  </si>
  <si>
    <t xml:space="preserve">Rebecca Bhat</t>
  </si>
  <si>
    <t xml:space="preserve">IN1063</t>
  </si>
  <si>
    <t xml:space="preserve">Nikhil Pillai</t>
  </si>
  <si>
    <t xml:space="preserve">IN1064</t>
  </si>
  <si>
    <t xml:space="preserve">Gaurav Moore</t>
  </si>
  <si>
    <t xml:space="preserve">Michael Robinson</t>
  </si>
  <si>
    <t xml:space="preserve">IN1066</t>
  </si>
  <si>
    <t xml:space="preserve">Meera Patel</t>
  </si>
  <si>
    <t xml:space="preserve">IN1067</t>
  </si>
  <si>
    <t xml:space="preserve">Manoj Thompson</t>
  </si>
  <si>
    <t xml:space="preserve">IN1068</t>
  </si>
  <si>
    <t xml:space="preserve">Meera Sharma</t>
  </si>
  <si>
    <t xml:space="preserve">IN1069</t>
  </si>
  <si>
    <t xml:space="preserve">Sneha Martin</t>
  </si>
  <si>
    <t xml:space="preserve">Current Allocation (%)</t>
  </si>
  <si>
    <t xml:space="preserve">CTC (Annual USD)</t>
  </si>
  <si>
    <t xml:space="preserve">US2000</t>
  </si>
  <si>
    <t xml:space="preserve">Charles White</t>
  </si>
  <si>
    <t xml:space="preserve">US2001</t>
  </si>
  <si>
    <t xml:space="preserve">Shreya Martin</t>
  </si>
  <si>
    <t xml:space="preserve">Senior Ops Manager</t>
  </si>
  <si>
    <t xml:space="preserve">Steven Desai</t>
  </si>
  <si>
    <t xml:space="preserve">US2003</t>
  </si>
  <si>
    <t xml:space="preserve">Gaurav Verma</t>
  </si>
  <si>
    <t xml:space="preserve">Arjun Reddy</t>
  </si>
  <si>
    <t xml:space="preserve">US2005</t>
  </si>
  <si>
    <t xml:space="preserve">Manoj Johnson</t>
  </si>
  <si>
    <t xml:space="preserve">Legal Analyst</t>
  </si>
  <si>
    <t xml:space="preserve">US2006</t>
  </si>
  <si>
    <t xml:space="preserve">Pallavi Garcia</t>
  </si>
  <si>
    <t xml:space="preserve">US2007</t>
  </si>
  <si>
    <t xml:space="preserve">Sanjay Pandey</t>
  </si>
  <si>
    <t xml:space="preserve">Pallavi Shah</t>
  </si>
  <si>
    <t xml:space="preserve">US2009</t>
  </si>
  <si>
    <t xml:space="preserve">Deepa Davis</t>
  </si>
  <si>
    <t xml:space="preserve">US2010</t>
  </si>
  <si>
    <t xml:space="preserve">Chirag Davis</t>
  </si>
  <si>
    <t xml:space="preserve">Nandini Taylor</t>
  </si>
  <si>
    <t xml:space="preserve">US2012</t>
  </si>
  <si>
    <t xml:space="preserve">Harish Johnson</t>
  </si>
  <si>
    <t xml:space="preserve">US2013</t>
  </si>
  <si>
    <t xml:space="preserve">Priya Harris</t>
  </si>
  <si>
    <t xml:space="preserve">Rahul Patel</t>
  </si>
  <si>
    <t xml:space="preserve">US2015</t>
  </si>
  <si>
    <t xml:space="preserve">Arjun Anderson</t>
  </si>
  <si>
    <t xml:space="preserve">US2016</t>
  </si>
  <si>
    <t xml:space="preserve">Suresh Martinez</t>
  </si>
  <si>
    <t xml:space="preserve">Senior Data Scientist</t>
  </si>
  <si>
    <t xml:space="preserve">US2017</t>
  </si>
  <si>
    <t xml:space="preserve">Rohan Garcia</t>
  </si>
  <si>
    <t xml:space="preserve">Stephanie Rao</t>
  </si>
  <si>
    <t xml:space="preserve">Laura Pandey</t>
  </si>
  <si>
    <t xml:space="preserve">Chitra Brown</t>
  </si>
  <si>
    <t xml:space="preserve">US2021</t>
  </si>
  <si>
    <t xml:space="preserve">Rohan Wilson</t>
  </si>
  <si>
    <t xml:space="preserve">US2022</t>
  </si>
  <si>
    <t xml:space="preserve">Mark White</t>
  </si>
  <si>
    <t xml:space="preserve">US2023</t>
  </si>
  <si>
    <t xml:space="preserve">Yash Garcia</t>
  </si>
  <si>
    <t xml:space="preserve">US2024</t>
  </si>
  <si>
    <t xml:space="preserve">Pooja Taylor</t>
  </si>
  <si>
    <t xml:space="preserve">US2025</t>
  </si>
  <si>
    <t xml:space="preserve">Varun Smith</t>
  </si>
  <si>
    <t xml:space="preserve">US2026</t>
  </si>
  <si>
    <t xml:space="preserve">Akash Martinez</t>
  </si>
  <si>
    <t xml:space="preserve">US2027</t>
  </si>
  <si>
    <t xml:space="preserve">Mark Miller</t>
  </si>
  <si>
    <t xml:space="preserve">US2028</t>
  </si>
  <si>
    <t xml:space="preserve">Stephanie Thomas</t>
  </si>
  <si>
    <t xml:space="preserve">US2029</t>
  </si>
  <si>
    <t xml:space="preserve">Thomas Desai</t>
  </si>
  <si>
    <t xml:space="preserve">Region</t>
  </si>
  <si>
    <t xml:space="preserve">Jan-2025</t>
  </si>
  <si>
    <t xml:space="preserve">Feb-2025</t>
  </si>
  <si>
    <t xml:space="preserve">Mar-2025</t>
  </si>
  <si>
    <t xml:space="preserve">Apr-2025</t>
  </si>
  <si>
    <t xml:space="preserve">May-2025</t>
  </si>
  <si>
    <t xml:space="preserve">Jun-2025</t>
  </si>
  <si>
    <t xml:space="preserve">Jul-2025</t>
  </si>
  <si>
    <t xml:space="preserve">Aug-2025</t>
  </si>
  <si>
    <t xml:space="preserve">Sep-2025</t>
  </si>
  <si>
    <t xml:space="preserve">Oct-2025</t>
  </si>
  <si>
    <t xml:space="preserve">Nov-2025</t>
  </si>
  <si>
    <t xml:space="preserve">Dec-2025</t>
  </si>
  <si>
    <t xml:space="preserve">Project</t>
  </si>
  <si>
    <t xml:space="preserve">Allocation (%)</t>
  </si>
  <si>
    <t xml:space="preserve">Project Atlas</t>
  </si>
  <si>
    <t xml:space="preserve">Internal – BAU</t>
  </si>
  <si>
    <t xml:space="preserve">Project Zenith</t>
  </si>
  <si>
    <t xml:space="preserve">Project Nexus</t>
  </si>
  <si>
    <t xml:space="preserve">Project Falcon</t>
  </si>
  <si>
    <t xml:space="preserve">Project Apollo</t>
  </si>
  <si>
    <t xml:space="preserve">Internal – Support</t>
  </si>
  <si>
    <t xml:space="preserve">Project Vega</t>
  </si>
  <si>
    <t xml:space="preserve">Project Titan</t>
  </si>
  <si>
    <t xml:space="preserve">Project Orion</t>
  </si>
  <si>
    <t xml:space="preserve">Project Nova</t>
  </si>
  <si>
    <t xml:space="preserve">Bench / Training</t>
  </si>
  <si>
    <t xml:space="preserve">Project Helix</t>
  </si>
  <si>
    <t xml:space="preserve">Annual CTC (INR)</t>
  </si>
  <si>
    <t xml:space="preserve">Monthly CTC (INR)</t>
  </si>
  <si>
    <t xml:space="preserve">Annual CTC (USD)</t>
  </si>
  <si>
    <t xml:space="preserve">Monthly CTC (USD)</t>
  </si>
  <si>
    <t xml:space="preserve">Jan-2025 Avg Hrs/Day</t>
  </si>
  <si>
    <t xml:space="preserve">Feb-2025 Avg Hrs/Day</t>
  </si>
  <si>
    <t xml:space="preserve">Mar-2025 Avg Hrs/Day</t>
  </si>
  <si>
    <t xml:space="preserve">Apr-2025 Avg Hrs/Day</t>
  </si>
  <si>
    <t xml:space="preserve">May-2025 Avg Hrs/Day</t>
  </si>
  <si>
    <t xml:space="preserve">Jun-2025 Avg Hrs/Day</t>
  </si>
  <si>
    <t xml:space="preserve">Jul-2025 Avg Hrs/Day</t>
  </si>
  <si>
    <t xml:space="preserve">Aug-2025 Avg Hrs/Day</t>
  </si>
  <si>
    <t xml:space="preserve">Sep-2025 Avg Hrs/Day</t>
  </si>
  <si>
    <t xml:space="preserve">Oct-2025 Avg Hrs/Day</t>
  </si>
  <si>
    <t xml:space="preserve">Nov-2025 Avg Hrs/Day</t>
  </si>
  <si>
    <t xml:space="preserve">Dec-2025 Avg Hrs/Day</t>
  </si>
  <si>
    <t xml:space="preserve">Overall Avg Hrs/Day</t>
  </si>
  <si>
    <t xml:space="preserve">Below 8 Hrs Flag</t>
  </si>
  <si>
    <t xml:space="preserve">Risk Category</t>
  </si>
  <si>
    <t xml:space="preserve">Risk Level</t>
  </si>
  <si>
    <t xml:space="preserve">Identified Date</t>
  </si>
  <si>
    <t xml:space="preserve">Mitigation Action</t>
  </si>
  <si>
    <t xml:space="preserve">Status</t>
  </si>
  <si>
    <t xml:space="preserve">HR Notes</t>
  </si>
  <si>
    <t xml:space="preserve">Interpersonal Conflict</t>
  </si>
  <si>
    <t xml:space="preserve">Low</t>
  </si>
  <si>
    <t xml:space="preserve">Counseling Arranged</t>
  </si>
  <si>
    <t xml:space="preserve">In Progress</t>
  </si>
  <si>
    <t xml:space="preserve">To be updated by HR</t>
  </si>
  <si>
    <t xml:space="preserve">Performance Issue</t>
  </si>
  <si>
    <t xml:space="preserve">Medium</t>
  </si>
  <si>
    <t xml:space="preserve">Escalated to VP</t>
  </si>
  <si>
    <t xml:space="preserve">Resolved</t>
  </si>
  <si>
    <t xml:space="preserve">Health &amp; Well-being</t>
  </si>
  <si>
    <t xml:space="preserve">Training Assigned</t>
  </si>
  <si>
    <t xml:space="preserve">Open</t>
  </si>
  <si>
    <t xml:space="preserve">Skill Gap</t>
  </si>
  <si>
    <t xml:space="preserve">1:1 Scheduled</t>
  </si>
  <si>
    <t xml:space="preserve">High</t>
  </si>
  <si>
    <t xml:space="preserve">PIP Initiated</t>
  </si>
  <si>
    <t xml:space="preserve">Flight Risk</t>
  </si>
  <si>
    <t xml:space="preserve">Compliance Concern</t>
  </si>
  <si>
    <t xml:space="preserve">Monitoring</t>
  </si>
  <si>
    <t xml:space="preserve">Last Working Day</t>
  </si>
  <si>
    <t xml:space="preserve">Exit Reason</t>
  </si>
  <si>
    <t xml:space="preserve">Exit Quarter</t>
  </si>
  <si>
    <t xml:space="preserve">Notice Period Served</t>
  </si>
  <si>
    <t xml:space="preserve">Rehire Eligible</t>
  </si>
  <si>
    <t xml:space="preserve">Personal Reasons</t>
  </si>
  <si>
    <t xml:space="preserve">No</t>
  </si>
  <si>
    <t xml:space="preserve">Yes</t>
  </si>
  <si>
    <t xml:space="preserve">Resignation</t>
  </si>
  <si>
    <t xml:space="preserve">Internship Completed</t>
  </si>
  <si>
    <t xml:space="preserve">Performance</t>
  </si>
  <si>
    <t xml:space="preserve">Better Opportunity</t>
  </si>
  <si>
    <t xml:space="preserve">End of Contract</t>
  </si>
  <si>
    <t xml:space="preserve">Relocation</t>
  </si>
  <si>
    <t xml:space="preserve">Higher Studies</t>
  </si>
  <si>
    <t xml:space="preserve">India HC</t>
  </si>
  <si>
    <t xml:space="preserve">US HC</t>
  </si>
  <si>
    <t xml:space="preserve">Total HC</t>
  </si>
  <si>
    <t xml:space="preserve">Avg Prod (hrs)</t>
  </si>
  <si>
    <t xml:space="preserve">India CTC (INR)</t>
  </si>
  <si>
    <t xml:space="preserve">US CTC (USD)</t>
  </si>
  <si>
    <t xml:space="preserve">Quarter</t>
  </si>
  <si>
    <t xml:space="preserve">Exits</t>
  </si>
  <si>
    <t xml:space="preserve">Attrition %</t>
  </si>
  <si>
    <t xml:space="preserve">Probation Employees</t>
  </si>
  <si>
    <t xml:space="preserve">EmpID</t>
  </si>
  <si>
    <t xml:space="preserve">Name</t>
  </si>
  <si>
    <t xml:space="preserve">Dept</t>
  </si>
  <si>
    <t xml:space="preserve">DOJ</t>
  </si>
  <si>
    <t xml:space="preserve">ProbEnd</t>
  </si>
  <si>
    <t xml:space="preserve">DaysLeft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</si>
</sst>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0.0%"/>
    <numFmt numFmtId="167" formatCode="0.0\%"/>
    <numFmt numFmtId="168" formatCode="dd\-mmm\-yyyy"/>
    <numFmt numFmtId="169" formatCode="\₹#,##0,,\M"/>
    <numFmt numFmtId="170" formatCode="\$#,##0,\K"/>
    <numFmt numFmtId="171" formatCode="\₹#,##0"/>
    <numFmt numFmtId="172" formatCode="\$#,##0"/>
    <numFmt numFmtId="173" formatCode="0.00"/>
    <numFmt numFmtId="174" formatCode="0"/>
    <numFmt numFmtId="175" formatCode="0\%"/>
    <numFmt numFmtId="176" formatCode="\$#,##0"/>
    <numFmt numFmtId="177" formatCode="\₹#,##0"/>
    <numFmt numFmtId="178" formatCode="0.0"/>
  </numFmts>
  <fonts count="2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9"/>
      <color rgb="FFA8C4E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8"/>
      <color rgb="FFA8C4E8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7"/>
      <color rgb="FFA8C4E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2E5FA3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1A1A2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b val="true"/>
      <sz val="9"/>
      <color rgb="FF2E5FA3"/>
      <name val="Arial"/>
      <family val="0"/>
      <charset val="1"/>
    </font>
    <font>
      <i val="true"/>
      <sz val="8"/>
      <color rgb="FFA8C4E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0D1B2A"/>
        <bgColor rgb="FF1A1A2E"/>
      </patternFill>
    </fill>
    <fill>
      <patternFill patternType="solid">
        <fgColor rgb="FF1B3A5C"/>
        <bgColor rgb="FF154360"/>
      </patternFill>
    </fill>
    <fill>
      <patternFill patternType="solid">
        <fgColor rgb="FF2E5FA3"/>
        <bgColor rgb="FF1F618D"/>
      </patternFill>
    </fill>
    <fill>
      <patternFill patternType="solid">
        <fgColor rgb="FF154360"/>
        <bgColor rgb="FF1B3A5C"/>
      </patternFill>
    </fill>
    <fill>
      <patternFill patternType="solid">
        <fgColor rgb="FF1A5276"/>
        <bgColor rgb="FF1F4E79"/>
      </patternFill>
    </fill>
    <fill>
      <patternFill patternType="solid">
        <fgColor rgb="FF1F618D"/>
        <bgColor rgb="FF2E5FA3"/>
      </patternFill>
    </fill>
    <fill>
      <patternFill patternType="solid">
        <fgColor rgb="FF2471A3"/>
        <bgColor rgb="FF2E75B6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8080"/>
      </patternFill>
    </fill>
    <fill>
      <patternFill patternType="solid">
        <fgColor rgb="FFEEF3FA"/>
        <bgColor rgb="FFEBF3FA"/>
      </patternFill>
    </fill>
    <fill>
      <patternFill patternType="solid">
        <fgColor rgb="FFFFFFFF"/>
        <bgColor rgb="FFFDFDE7"/>
      </patternFill>
    </fill>
    <fill>
      <patternFill patternType="solid">
        <fgColor rgb="FF27AE60"/>
        <bgColor rgb="FF70AD47"/>
      </patternFill>
    </fill>
    <fill>
      <patternFill patternType="solid">
        <fgColor rgb="FFEBF3FA"/>
        <bgColor rgb="FFEEF3FA"/>
      </patternFill>
    </fill>
    <fill>
      <patternFill patternType="solid">
        <fgColor rgb="FF1F4E79"/>
        <bgColor rgb="FF1A5276"/>
      </patternFill>
    </fill>
    <fill>
      <patternFill patternType="solid">
        <fgColor rgb="FF2E75B6"/>
        <bgColor rgb="FF2471A3"/>
      </patternFill>
    </fill>
    <fill>
      <patternFill patternType="solid">
        <fgColor rgb="FFFFE0E0"/>
        <bgColor rgb="FFFADBD8"/>
      </patternFill>
    </fill>
    <fill>
      <patternFill patternType="solid">
        <fgColor rgb="FF70AD47"/>
        <bgColor rgb="FF7F8C8D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  <border diagonalUp="false" diagonalDown="false">
      <left style="thin">
        <color rgb="FF4A7EC4"/>
      </left>
      <right style="thin">
        <color rgb="FF4A7EC4"/>
      </right>
      <top style="thin">
        <color rgb="FF4A7EC4"/>
      </top>
      <bottom style="thin">
        <color rgb="FF4A7EC4"/>
      </bottom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22" fillId="1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2" fillId="1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2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2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C0392B"/>
      </font>
      <fill>
        <patternFill>
          <bgColor rgb="FFFADBD8"/>
        </patternFill>
      </fill>
    </dxf>
    <dxf>
      <font>
        <b val="1"/>
        <color rgb="FFE67E22"/>
      </font>
      <fill>
        <patternFill>
          <bgColor rgb="FFFDEBD0"/>
        </patternFill>
      </fill>
    </dxf>
    <dxf>
      <fill>
        <patternFill>
          <bgColor rgb="FFFDFDE7"/>
        </patternFill>
      </fill>
    </dxf>
    <dxf>
      <font>
        <b val="1"/>
        <color rgb="FF27AE60"/>
      </font>
      <fill>
        <patternFill>
          <bgColor rgb="FFD5F5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A5276"/>
      <rgbColor rgb="FF154360"/>
      <rgbColor rgb="FF808000"/>
      <rgbColor rgb="FF800080"/>
      <rgbColor rgb="FF1F618D"/>
      <rgbColor rgb="FFBDC3C7"/>
      <rgbColor rgb="FF7F8C8D"/>
      <rgbColor rgb="FF9999FF"/>
      <rgbColor rgb="FF993366"/>
      <rgbColor rgb="FFFDFDE7"/>
      <rgbColor rgb="FFEBF3FA"/>
      <rgbColor rgb="FF660066"/>
      <rgbColor rgb="FFFF8080"/>
      <rgbColor rgb="FF2471A3"/>
      <rgbColor rgb="FFCCCCCC"/>
      <rgbColor rgb="FF000080"/>
      <rgbColor rgb="FFFF00FF"/>
      <rgbColor rgb="FFFFFF00"/>
      <rgbColor rgb="FF00FFFF"/>
      <rgbColor rgb="FF800080"/>
      <rgbColor rgb="FF800000"/>
      <rgbColor rgb="FF2E5FA3"/>
      <rgbColor rgb="FF0000FF"/>
      <rgbColor rgb="FF00CCFF"/>
      <rgbColor rgb="FFEEF3FA"/>
      <rgbColor rgb="FFD5F5E3"/>
      <rgbColor rgb="FFFDEBD0"/>
      <rgbColor rgb="FFA8C4E8"/>
      <rgbColor rgb="FFFFE0E0"/>
      <rgbColor rgb="FFD9D9D9"/>
      <rgbColor rgb="FFFADBD8"/>
      <rgbColor rgb="FF2E75B6"/>
      <rgbColor rgb="FF33CCCC"/>
      <rgbColor rgb="FF70AD47"/>
      <rgbColor rgb="FFFFCC00"/>
      <rgbColor rgb="FFFFA500"/>
      <rgbColor rgb="FFE67E22"/>
      <rgbColor rgb="FF4A7EC4"/>
      <rgbColor rgb="FF8B8B8B"/>
      <rgbColor rgb="FF1B3A5C"/>
      <rgbColor rgb="FF27AE60"/>
      <rgbColor rgb="FF0D1B2A"/>
      <rgbColor rgb="FF1A1A2E"/>
      <rgbColor rgb="FFC0392B"/>
      <rgbColor rgb="FF993366"/>
      <rgbColor rgb="FF1F4E7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Quarterly Attrition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Dashboard!C15</c:f>
              <c:strCache>
                <c:ptCount val="1"/>
                <c:pt idx="0">
                  <c:v>TOTAL EXITS</c:v>
                </c:pt>
              </c:strCache>
            </c:strRef>
          </c:tx>
          <c:spPr>
            <a:solidFill>
              <a:srgbClr val="2e5fa3"/>
            </a:solidFill>
            <a:ln w="64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Dashboard!$B$16:$B$19</c:f>
              <c:strCache>
                <c:ptCount val="4"/>
                <c:pt idx="0">
                  <c:v>Q1-2025</c:v>
                </c:pt>
                <c:pt idx="1">
                  <c:v>Q2-2025</c:v>
                </c:pt>
                <c:pt idx="2">
                  <c:v>Q3-2025</c:v>
                </c:pt>
                <c:pt idx="3">
                  <c:v>Q4-2025</c:v>
                </c:pt>
              </c:strCache>
            </c:strRef>
          </c:cat>
          <c:val>
            <c:numRef>
              <c:f>Dashboard!$C$16:$C$19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</c:ser>
        <c:gapWidth val="150"/>
        <c:overlap val="0"/>
        <c:axId val="30209711"/>
        <c:axId val="61636861"/>
      </c:barChart>
      <c:catAx>
        <c:axId val="302097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1636861"/>
        <c:crosses val="autoZero"/>
        <c:auto val="1"/>
        <c:lblAlgn val="ctr"/>
        <c:lblOffset val="100"/>
        <c:noMultiLvlLbl val="0"/>
      </c:catAx>
      <c:valAx>
        <c:axId val="6163686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Exits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02097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20</xdr:row>
      <xdr:rowOff>0</xdr:rowOff>
    </xdr:from>
    <xdr:to>
      <xdr:col>4</xdr:col>
      <xdr:colOff>231480</xdr:colOff>
      <xdr:row>33</xdr:row>
      <xdr:rowOff>193680</xdr:rowOff>
    </xdr:to>
    <xdr:graphicFrame>
      <xdr:nvGraphicFramePr>
        <xdr:cNvPr id="0" name="Chart 1"/>
        <xdr:cNvGraphicFramePr/>
      </xdr:nvGraphicFramePr>
      <xdr:xfrm>
        <a:off x="211320" y="51055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FA3"/>
    <pageSetUpPr fitToPage="false"/>
  </sheetPr>
  <dimension ref="A1:K1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11" min="3" style="0" width="18"/>
    <col collapsed="false" customWidth="true" hidden="false" outlineLevel="0" max="12" min="12" style="0" width="4"/>
  </cols>
  <sheetData>
    <row r="1" customFormat="false" ht="12" hidden="false" customHeight="true" outlineLevel="0" collapsed="false"/>
    <row r="2" customFormat="false" ht="51.7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9.75" hidden="false" customHeight="true" outlineLevel="0" collapsed="false"/>
    <row r="5" customFormat="false" ht="21.75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</row>
    <row r="6" customFormat="false" ht="31.5" hidden="false" customHeight="true" outlineLevel="0" collapsed="false">
      <c r="B6" s="4" t="s">
        <v>3</v>
      </c>
      <c r="C6" s="4"/>
      <c r="D6" s="5" t="s">
        <v>4</v>
      </c>
      <c r="E6" s="5"/>
      <c r="F6" s="6" t="s">
        <v>5</v>
      </c>
      <c r="G6" s="6"/>
      <c r="H6" s="7" t="s">
        <v>6</v>
      </c>
      <c r="I6" s="7"/>
      <c r="J6" s="8" t="s">
        <v>7</v>
      </c>
      <c r="K6" s="8"/>
    </row>
    <row r="7" customFormat="false" ht="21.75" hidden="false" customHeight="true" outlineLevel="0" collapsed="false">
      <c r="B7" s="9" t="n">
        <f aca="false">COUNTA('India Employee Database'!A:A)-1+COUNTA('US Employee Database'!A:A)-1</f>
        <v>100</v>
      </c>
      <c r="C7" s="9"/>
      <c r="D7" s="10" t="n">
        <f aca="false">COUNTA('India Employee Database'!A:A)-1</f>
        <v>70</v>
      </c>
      <c r="E7" s="10"/>
      <c r="F7" s="11" t="n">
        <f aca="false">COUNTA('US Employee Database'!A:A)-1</f>
        <v>30</v>
      </c>
      <c r="G7" s="11"/>
      <c r="H7" s="12" t="n">
        <f aca="false">COUNTIF('India Employee Database'!H:H,"Confirmed")+COUNTIF('US Employee Database'!J:J,"Confirmed")</f>
        <v>86</v>
      </c>
      <c r="I7" s="12"/>
      <c r="J7" s="13" t="n">
        <f aca="false">COUNTIF('India Employee Database'!H:H,"Under Probation")+COUNTIF('US Employee Database'!J:J,"Under Probation")</f>
        <v>7</v>
      </c>
      <c r="K7" s="13"/>
    </row>
    <row r="8" customFormat="false" ht="9.75" hidden="false" customHeight="true" outlineLevel="0" collapsed="false">
      <c r="B8" s="14" t="s">
        <v>8</v>
      </c>
      <c r="C8" s="14"/>
      <c r="D8" s="15" t="s">
        <v>9</v>
      </c>
      <c r="E8" s="15"/>
      <c r="F8" s="16" t="s">
        <v>9</v>
      </c>
      <c r="G8" s="16"/>
      <c r="H8" s="17" t="s">
        <v>10</v>
      </c>
      <c r="I8" s="17"/>
      <c r="J8" s="18" t="s">
        <v>11</v>
      </c>
      <c r="K8" s="18"/>
    </row>
    <row r="9" customFormat="false" ht="21.75" hidden="false" customHeight="true" outlineLevel="0" collapsed="false">
      <c r="B9" s="4" t="s">
        <v>12</v>
      </c>
      <c r="C9" s="4"/>
      <c r="D9" s="19" t="s">
        <v>13</v>
      </c>
      <c r="E9" s="19"/>
      <c r="F9" s="20" t="s">
        <v>14</v>
      </c>
      <c r="G9" s="20"/>
      <c r="H9" s="19" t="s">
        <v>15</v>
      </c>
      <c r="I9" s="19"/>
      <c r="J9" s="7" t="s">
        <v>16</v>
      </c>
      <c r="K9" s="7"/>
    </row>
    <row r="10" customFormat="false" ht="31.5" hidden="false" customHeight="true" outlineLevel="0" collapsed="false">
      <c r="B10" s="9" t="n">
        <f aca="false">COUNTIF('India Employee Database'!H:H,"Intern")+COUNTIF('US Employee Database'!J:J,"Intern")</f>
        <v>7</v>
      </c>
      <c r="C10" s="9"/>
      <c r="D10" s="21" t="n">
        <f aca="true">COUNTIFS('India Employee Database'!H:H,"Under Probation",'India Employee Database'!G:G,"&gt;"&amp;0,'India Employee Database'!G:G,"&lt;="&amp;TODAY()-30+180)+COUNTIFS('US Employee Database'!J:J,"Under Probation",'US Employee Database'!I:I,"&gt;"&amp;0,'US Employee Database'!I:I,"&lt;="&amp;TODAY()-30+180)</f>
        <v>7</v>
      </c>
      <c r="E10" s="21"/>
      <c r="F10" s="22" t="n">
        <f aca="true">COUNTIFS('India Employee Database'!H:H,"Intern",'India Employee Database'!I:I,"&gt;"&amp;TODAY(),'India Employee Database'!I:I,"&lt;="&amp;TODAY()+45)+COUNTIFS('US Employee Database'!J:J,"Intern",'US Employee Database'!K:K,"&gt;"&amp;TODAY(),'US Employee Database'!K:K,"&lt;="&amp;TODAY()+45)</f>
        <v>5</v>
      </c>
      <c r="G10" s="22"/>
      <c r="H10" s="21" t="n">
        <f aca="false">COUNTIF('Risk Report'!F:F,"High")</f>
        <v>2</v>
      </c>
      <c r="I10" s="21"/>
      <c r="J10" s="12" t="n">
        <f aca="false">ROUND(AVERAGE(Productivity!O:O),1)</f>
        <v>8.3</v>
      </c>
      <c r="K10" s="12"/>
    </row>
    <row r="11" customFormat="false" ht="21.75" hidden="false" customHeight="true" outlineLevel="0" collapsed="false">
      <c r="B11" s="14" t="s">
        <v>17</v>
      </c>
      <c r="C11" s="14"/>
      <c r="D11" s="23" t="s">
        <v>18</v>
      </c>
      <c r="E11" s="23"/>
      <c r="F11" s="24" t="s">
        <v>19</v>
      </c>
      <c r="G11" s="24"/>
      <c r="H11" s="23" t="s">
        <v>20</v>
      </c>
      <c r="I11" s="23"/>
      <c r="J11" s="17" t="s">
        <v>21</v>
      </c>
      <c r="K11" s="17"/>
    </row>
    <row r="12" customFormat="false" ht="9.75" hidden="false" customHeight="true" outlineLevel="0" collapsed="false"/>
    <row r="13" customFormat="false" ht="9.75" hidden="false" customHeight="true" outlineLevel="0" collapsed="false"/>
    <row r="14" customFormat="false" ht="21.75" hidden="false" customHeight="true" outlineLevel="0" collapsed="false">
      <c r="B14" s="3" t="s">
        <v>22</v>
      </c>
      <c r="C14" s="3"/>
      <c r="D14" s="3"/>
      <c r="E14" s="3"/>
      <c r="F14" s="3"/>
      <c r="G14" s="3"/>
      <c r="H14" s="3"/>
      <c r="I14" s="3"/>
      <c r="J14" s="3"/>
      <c r="K14" s="3"/>
    </row>
    <row r="15" customFormat="false" ht="21.75" hidden="false" customHeight="true" outlineLevel="0" collapsed="false">
      <c r="B15" s="25" t="s">
        <v>23</v>
      </c>
      <c r="C15" s="25" t="s">
        <v>24</v>
      </c>
      <c r="D15" s="25" t="s">
        <v>25</v>
      </c>
      <c r="E15" s="25" t="s">
        <v>26</v>
      </c>
      <c r="F15" s="25" t="s">
        <v>27</v>
      </c>
      <c r="G15" s="25" t="s">
        <v>28</v>
      </c>
      <c r="I15" s="25" t="s">
        <v>29</v>
      </c>
      <c r="J15" s="25" t="s">
        <v>30</v>
      </c>
      <c r="K15" s="25" t="s">
        <v>31</v>
      </c>
    </row>
    <row r="16" customFormat="false" ht="18" hidden="false" customHeight="true" outlineLevel="0" collapsed="false">
      <c r="B16" s="25" t="s">
        <v>32</v>
      </c>
      <c r="C16" s="26" t="n">
        <f aca="false">COUNTIF('Offboarded Resources'!I:I,"Q1-2025")</f>
        <v>4</v>
      </c>
      <c r="D16" s="27" t="n">
        <f aca="false">IFERROR(C16/(COUNTA('India Employee Database'!A:A)-1+COUNTA('US Employee Database'!A:A)-1),0)</f>
        <v>0.04</v>
      </c>
      <c r="E16" s="28" t="n">
        <f aca="false">COUNTIFS('Offboarded Resources'!I:I,"Q1-2025",'Offboarded Resources'!D:D,"India")</f>
        <v>3</v>
      </c>
      <c r="F16" s="28" t="n">
        <f aca="false">COUNTIFS('Offboarded Resources'!I:I,"Q1-2025",'Offboarded Resources'!D:D,"US")</f>
        <v>1</v>
      </c>
      <c r="G16" s="29" t="n">
        <f aca="false">SUM(C16:C16)</f>
        <v>4</v>
      </c>
      <c r="I16" s="30" t="s">
        <v>33</v>
      </c>
      <c r="J16" s="31" t="n">
        <f aca="false">COUNTIF('Offboarded Resources'!C:C,"Data Science")</f>
        <v>2</v>
      </c>
      <c r="K16" s="32" t="n">
        <f aca="false">IFERROR(J16/SUM($J$16:$J$25)*100,0)</f>
        <v>10.5263157894737</v>
      </c>
    </row>
    <row r="17" customFormat="false" ht="18" hidden="false" customHeight="true" outlineLevel="0" collapsed="false">
      <c r="B17" s="25" t="s">
        <v>34</v>
      </c>
      <c r="C17" s="33" t="n">
        <f aca="false">COUNTIF('Offboarded Resources'!I:I,"Q2-2025")</f>
        <v>5</v>
      </c>
      <c r="D17" s="34" t="n">
        <f aca="false">IFERROR(C17/(COUNTA('India Employee Database'!A:A)-1+COUNTA('US Employee Database'!A:A)-1),0)</f>
        <v>0.05</v>
      </c>
      <c r="E17" s="35" t="n">
        <f aca="false">COUNTIFS('Offboarded Resources'!I:I,"Q2-2025",'Offboarded Resources'!D:D,"India")</f>
        <v>4</v>
      </c>
      <c r="F17" s="35" t="n">
        <f aca="false">COUNTIFS('Offboarded Resources'!I:I,"Q2-2025",'Offboarded Resources'!D:D,"US")</f>
        <v>1</v>
      </c>
      <c r="G17" s="36" t="n">
        <f aca="false">SUM(C16:C17)</f>
        <v>9</v>
      </c>
      <c r="I17" s="37" t="s">
        <v>35</v>
      </c>
      <c r="J17" s="38" t="n">
        <f aca="false">COUNTIF('Offboarded Resources'!C:C,"Design")</f>
        <v>1</v>
      </c>
      <c r="K17" s="39" t="n">
        <f aca="false">IFERROR(J17/SUM($J$16:$J$25)*100,0)</f>
        <v>5.26315789473684</v>
      </c>
    </row>
    <row r="18" customFormat="false" ht="18" hidden="false" customHeight="true" outlineLevel="0" collapsed="false">
      <c r="B18" s="25" t="s">
        <v>36</v>
      </c>
      <c r="C18" s="26" t="n">
        <f aca="false">COUNTIF('Offboarded Resources'!I:I,"Q3-2025")</f>
        <v>6</v>
      </c>
      <c r="D18" s="27" t="n">
        <f aca="false">IFERROR(C18/(COUNTA('India Employee Database'!A:A)-1+COUNTA('US Employee Database'!A:A)-1),0)</f>
        <v>0.06</v>
      </c>
      <c r="E18" s="28" t="n">
        <f aca="false">COUNTIFS('Offboarded Resources'!I:I,"Q3-2025",'Offboarded Resources'!D:D,"India")</f>
        <v>3</v>
      </c>
      <c r="F18" s="28" t="n">
        <f aca="false">COUNTIFS('Offboarded Resources'!I:I,"Q3-2025",'Offboarded Resources'!D:D,"US")</f>
        <v>3</v>
      </c>
      <c r="G18" s="29" t="n">
        <f aca="false">SUM(C16:C18)</f>
        <v>15</v>
      </c>
      <c r="I18" s="30" t="s">
        <v>37</v>
      </c>
      <c r="J18" s="31" t="n">
        <f aca="false">COUNTIF('Offboarded Resources'!C:C,"Engineering")</f>
        <v>3</v>
      </c>
      <c r="K18" s="32" t="n">
        <f aca="false">IFERROR(J18/SUM($J$16:$J$25)*100,0)</f>
        <v>15.7894736842105</v>
      </c>
    </row>
    <row r="19" customFormat="false" ht="18" hidden="false" customHeight="true" outlineLevel="0" collapsed="false">
      <c r="B19" s="25" t="s">
        <v>38</v>
      </c>
      <c r="C19" s="33" t="n">
        <f aca="false">COUNTIF('Offboarded Resources'!I:I,"Q4-2025")</f>
        <v>4</v>
      </c>
      <c r="D19" s="34" t="n">
        <f aca="false">IFERROR(C19/(COUNTA('India Employee Database'!A:A)-1+COUNTA('US Employee Database'!A:A)-1),0)</f>
        <v>0.04</v>
      </c>
      <c r="E19" s="35" t="n">
        <f aca="false">COUNTIFS('Offboarded Resources'!I:I,"Q4-2025",'Offboarded Resources'!D:D,"India")</f>
        <v>4</v>
      </c>
      <c r="F19" s="35" t="n">
        <f aca="false">COUNTIFS('Offboarded Resources'!I:I,"Q4-2025",'Offboarded Resources'!D:D,"US")</f>
        <v>0</v>
      </c>
      <c r="G19" s="36" t="n">
        <f aca="false">SUM(C16:C19)</f>
        <v>19</v>
      </c>
      <c r="I19" s="37" t="s">
        <v>39</v>
      </c>
      <c r="J19" s="38" t="n">
        <f aca="false">COUNTIF('Offboarded Resources'!C:C,"Finance")</f>
        <v>2</v>
      </c>
      <c r="K19" s="39" t="n">
        <f aca="false">IFERROR(J19/SUM($J$16:$J$25)*100,0)</f>
        <v>10.5263157894737</v>
      </c>
    </row>
    <row r="20" customFormat="false" ht="18" hidden="false" customHeight="true" outlineLevel="0" collapsed="false">
      <c r="B20" s="25" t="s">
        <v>40</v>
      </c>
      <c r="C20" s="25" t="n">
        <f aca="false">SUM(C16:C19)</f>
        <v>19</v>
      </c>
      <c r="D20" s="40" t="n">
        <f aca="false">IFERROR(B20/(COUNTA('India Employee Database'!A:A)-1+COUNTA('US Employee Database'!A:A)-1),0)</f>
        <v>0</v>
      </c>
      <c r="E20" s="25" t="n">
        <f aca="false">SUM(E16:E19)</f>
        <v>14</v>
      </c>
      <c r="F20" s="25" t="n">
        <f aca="false">SUM(F16:F19)</f>
        <v>5</v>
      </c>
      <c r="G20" s="25"/>
      <c r="I20" s="30" t="s">
        <v>41</v>
      </c>
      <c r="J20" s="31" t="n">
        <f aca="false">COUNTIF('Offboarded Resources'!C:C,"HR")</f>
        <v>4</v>
      </c>
      <c r="K20" s="32" t="n">
        <f aca="false">IFERROR(J20/SUM($J$16:$J$25)*100,0)</f>
        <v>21.0526315789474</v>
      </c>
    </row>
    <row r="21" customFormat="false" ht="18" hidden="false" customHeight="true" outlineLevel="0" collapsed="false">
      <c r="I21" s="37" t="s">
        <v>42</v>
      </c>
      <c r="J21" s="38" t="n">
        <f aca="false">COUNTIF('Offboarded Resources'!C:C,"Legal")</f>
        <v>0</v>
      </c>
      <c r="K21" s="39" t="n">
        <f aca="false">IFERROR(J21/SUM($J$16:$J$25)*100,0)</f>
        <v>0</v>
      </c>
    </row>
    <row r="22" customFormat="false" ht="18" hidden="false" customHeight="true" outlineLevel="0" collapsed="false">
      <c r="I22" s="30" t="s">
        <v>43</v>
      </c>
      <c r="J22" s="31" t="n">
        <f aca="false">COUNTIF('Offboarded Resources'!C:C,"Marketing")</f>
        <v>2</v>
      </c>
      <c r="K22" s="32" t="n">
        <f aca="false">IFERROR(J22/SUM($J$16:$J$25)*100,0)</f>
        <v>10.5263157894737</v>
      </c>
    </row>
    <row r="23" customFormat="false" ht="18" hidden="false" customHeight="true" outlineLevel="0" collapsed="false">
      <c r="I23" s="37" t="s">
        <v>44</v>
      </c>
      <c r="J23" s="38" t="n">
        <f aca="false">COUNTIF('Offboarded Resources'!C:C,"Operations")</f>
        <v>1</v>
      </c>
      <c r="K23" s="39" t="n">
        <f aca="false">IFERROR(J23/SUM($J$16:$J$25)*100,0)</f>
        <v>5.26315789473684</v>
      </c>
    </row>
    <row r="24" customFormat="false" ht="18" hidden="false" customHeight="true" outlineLevel="0" collapsed="false">
      <c r="I24" s="30" t="s">
        <v>45</v>
      </c>
      <c r="J24" s="31" t="n">
        <f aca="false">COUNTIF('Offboarded Resources'!C:C,"Product")</f>
        <v>1</v>
      </c>
      <c r="K24" s="32" t="n">
        <f aca="false">IFERROR(J24/SUM($J$16:$J$25)*100,0)</f>
        <v>5.26315789473684</v>
      </c>
    </row>
    <row r="25" customFormat="false" ht="18" hidden="false" customHeight="true" outlineLevel="0" collapsed="false">
      <c r="I25" s="37" t="s">
        <v>46</v>
      </c>
      <c r="J25" s="38" t="n">
        <f aca="false">COUNTIF('Offboarded Resources'!C:C,"Sales")</f>
        <v>3</v>
      </c>
      <c r="K25" s="39" t="n">
        <f aca="false">IFERROR(J25/SUM($J$16:$J$25)*100,0)</f>
        <v>15.7894736842105</v>
      </c>
    </row>
    <row r="32" customFormat="false" ht="9.75" hidden="false" customHeight="true" outlineLevel="0" collapsed="false"/>
    <row r="33" customFormat="false" ht="21.75" hidden="false" customHeight="true" outlineLevel="0" collapsed="false">
      <c r="B33" s="3" t="s">
        <v>47</v>
      </c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9.5" hidden="false" customHeight="true" outlineLevel="0" collapsed="false">
      <c r="B34" s="25" t="s">
        <v>48</v>
      </c>
      <c r="C34" s="25" t="s">
        <v>49</v>
      </c>
      <c r="D34" s="25" t="s">
        <v>29</v>
      </c>
      <c r="E34" s="25" t="s">
        <v>50</v>
      </c>
      <c r="F34" s="25" t="s">
        <v>51</v>
      </c>
      <c r="G34" s="25" t="s">
        <v>52</v>
      </c>
      <c r="H34" s="25" t="s">
        <v>53</v>
      </c>
      <c r="I34" s="25" t="s">
        <v>54</v>
      </c>
    </row>
    <row r="35" customFormat="false" ht="18" hidden="false" customHeight="true" outlineLevel="0" collapsed="false">
      <c r="B35" s="41" t="s">
        <v>55</v>
      </c>
      <c r="C35" s="30" t="str">
        <f aca="false">IFERROR(INDEX('India Employee Database'!B:B,MATCH("IN1018",'India Employee Database'!A:A,0)),"")</f>
        <v>Reema Gupta</v>
      </c>
      <c r="D35" s="28" t="str">
        <f aca="false">IFERROR(INDEX('India Employee Database'!C:C,MATCH("IN1018",'India Employee Database'!A:A,0)),"")</f>
        <v>Legal</v>
      </c>
      <c r="E35" s="28" t="s">
        <v>56</v>
      </c>
      <c r="F35" s="42" t="n">
        <f aca="false">IFERROR(INDEX('India Employee Database'!G:G,MATCH("IN1018",'India Employee Database'!A:A,0)),"")</f>
        <v>46117</v>
      </c>
      <c r="G35" s="42" t="n">
        <f aca="false">IFERROR(F35+180,"")</f>
        <v>46297</v>
      </c>
      <c r="H35" s="26" t="n">
        <f aca="true">IFERROR(G35-TODAY(),"")</f>
        <v>143</v>
      </c>
      <c r="I35" s="29" t="str">
        <f aca="false">IFERROR(IF(H35&lt;0,"⚠ OVERDUE",IF(H35&lt;=30,"🔴 DUE SOON",IF(H35&lt;=60,"🟡 UPCOMING","✅ OK"))),"")</f>
        <v>✅ OK</v>
      </c>
    </row>
    <row r="36" customFormat="false" ht="18" hidden="false" customHeight="true" outlineLevel="0" collapsed="false">
      <c r="B36" s="41" t="s">
        <v>57</v>
      </c>
      <c r="C36" s="37" t="str">
        <f aca="false">IFERROR(INDEX('India Employee Database'!B:B,MATCH("IN1045",'India Employee Database'!A:A,0)),"")</f>
        <v>Deepa Pillai</v>
      </c>
      <c r="D36" s="35" t="str">
        <f aca="false">IFERROR(INDEX('India Employee Database'!C:C,MATCH("IN1045",'India Employee Database'!A:A,0)),"")</f>
        <v>Finance</v>
      </c>
      <c r="E36" s="35" t="s">
        <v>56</v>
      </c>
      <c r="F36" s="43" t="n">
        <f aca="false">IFERROR(INDEX('India Employee Database'!G:G,MATCH("IN1045",'India Employee Database'!A:A,0)),"")</f>
        <v>46014</v>
      </c>
      <c r="G36" s="43" t="n">
        <f aca="false">IFERROR(F36+180,"")</f>
        <v>46194</v>
      </c>
      <c r="H36" s="33" t="n">
        <f aca="true">IFERROR(G36-TODAY(),"")</f>
        <v>40</v>
      </c>
      <c r="I36" s="36" t="str">
        <f aca="false">IFERROR(IF(H36&lt;0,"⚠ OVERDUE",IF(H36&lt;=30,"🔴 DUE SOON",IF(H36&lt;=60,"🟡 UPCOMING","✅ OK"))),"")</f>
        <v>🟡 UPCOMING</v>
      </c>
    </row>
    <row r="37" customFormat="false" ht="18" hidden="false" customHeight="true" outlineLevel="0" collapsed="false">
      <c r="B37" s="41" t="s">
        <v>58</v>
      </c>
      <c r="C37" s="30" t="str">
        <f aca="false">IFERROR(INDEX('India Employee Database'!B:B,MATCH("IN1047",'India Employee Database'!A:A,0)),"")</f>
        <v>Rebecca Moore</v>
      </c>
      <c r="D37" s="28" t="str">
        <f aca="false">IFERROR(INDEX('India Employee Database'!C:C,MATCH("IN1047",'India Employee Database'!A:A,0)),"")</f>
        <v>Legal</v>
      </c>
      <c r="E37" s="28" t="s">
        <v>56</v>
      </c>
      <c r="F37" s="42" t="n">
        <f aca="false">IFERROR(INDEX('India Employee Database'!G:G,MATCH("IN1047",'India Employee Database'!A:A,0)),"")</f>
        <v>46099</v>
      </c>
      <c r="G37" s="42" t="n">
        <f aca="false">IFERROR(F37+180,"")</f>
        <v>46279</v>
      </c>
      <c r="H37" s="26" t="n">
        <f aca="true">IFERROR(G37-TODAY(),"")</f>
        <v>125</v>
      </c>
      <c r="I37" s="29" t="str">
        <f aca="false">IFERROR(IF(H37&lt;0,"⚠ OVERDUE",IF(H37&lt;=30,"🔴 DUE SOON",IF(H37&lt;=60,"🟡 UPCOMING","✅ OK"))),"")</f>
        <v>✅ OK</v>
      </c>
    </row>
    <row r="38" customFormat="false" ht="18" hidden="false" customHeight="true" outlineLevel="0" collapsed="false">
      <c r="B38" s="41" t="s">
        <v>59</v>
      </c>
      <c r="C38" s="37" t="str">
        <f aca="false">IFERROR(INDEX('India Employee Database'!B:B,MATCH("IN1054",'India Employee Database'!A:A,0)),"")</f>
        <v>Amit Patel</v>
      </c>
      <c r="D38" s="35" t="str">
        <f aca="false">IFERROR(INDEX('India Employee Database'!C:C,MATCH("IN1054",'India Employee Database'!A:A,0)),"")</f>
        <v>HR</v>
      </c>
      <c r="E38" s="35" t="s">
        <v>56</v>
      </c>
      <c r="F38" s="43" t="n">
        <f aca="false">IFERROR(INDEX('India Employee Database'!G:G,MATCH("IN1054",'India Employee Database'!A:A,0)),"")</f>
        <v>45976</v>
      </c>
      <c r="G38" s="43" t="n">
        <f aca="false">IFERROR(F38+180,"")</f>
        <v>46156</v>
      </c>
      <c r="H38" s="33" t="n">
        <f aca="true">IFERROR(G38-TODAY(),"")</f>
        <v>2</v>
      </c>
      <c r="I38" s="36" t="str">
        <f aca="false">IFERROR(IF(H38&lt;0,"⚠ OVERDUE",IF(H38&lt;=30,"🔴 DUE SOON",IF(H38&lt;=60,"🟡 UPCOMING","✅ OK"))),"")</f>
        <v>🔴 DUE SOON</v>
      </c>
    </row>
    <row r="39" customFormat="false" ht="18" hidden="false" customHeight="true" outlineLevel="0" collapsed="false">
      <c r="B39" s="41" t="s">
        <v>60</v>
      </c>
      <c r="C39" s="30" t="str">
        <f aca="false">IFERROR(INDEX('India Employee Database'!B:B,MATCH("IN1056",'India Employee Database'!A:A,0)),"")</f>
        <v>Akash Tiwari</v>
      </c>
      <c r="D39" s="28" t="str">
        <f aca="false">IFERROR(INDEX('India Employee Database'!C:C,MATCH("IN1056",'India Employee Database'!A:A,0)),"")</f>
        <v>Design</v>
      </c>
      <c r="E39" s="28" t="s">
        <v>56</v>
      </c>
      <c r="F39" s="42" t="n">
        <f aca="false">IFERROR(INDEX('India Employee Database'!G:G,MATCH("IN1056",'India Employee Database'!A:A,0)),"")</f>
        <v>46040</v>
      </c>
      <c r="G39" s="42" t="n">
        <f aca="false">IFERROR(F39+180,"")</f>
        <v>46220</v>
      </c>
      <c r="H39" s="26" t="n">
        <f aca="true">IFERROR(G39-TODAY(),"")</f>
        <v>66</v>
      </c>
      <c r="I39" s="29" t="str">
        <f aca="false">IFERROR(IF(H39&lt;0,"⚠ OVERDUE",IF(H39&lt;=30,"🔴 DUE SOON",IF(H39&lt;=60,"🟡 UPCOMING","✅ OK"))),"")</f>
        <v>✅ OK</v>
      </c>
    </row>
    <row r="40" customFormat="false" ht="18" hidden="false" customHeight="true" outlineLevel="0" collapsed="false">
      <c r="B40" s="41" t="s">
        <v>61</v>
      </c>
      <c r="C40" s="37" t="str">
        <f aca="false">IFERROR(INDEX('US Employee Database'!B:B,MATCH("US2019",'US Employee Database'!A:A,0)),"")</f>
        <v>Laura Pandey</v>
      </c>
      <c r="D40" s="35" t="str">
        <f aca="false">IFERROR(INDEX('US Employee Database'!C:C,MATCH("US2019",'US Employee Database'!A:A,0)),"")</f>
        <v>Data Science</v>
      </c>
      <c r="E40" s="35" t="s">
        <v>62</v>
      </c>
      <c r="F40" s="43" t="n">
        <f aca="false">IFERROR(INDEX('US Employee Database'!I:I,MATCH("US2019",'US Employee Database'!A:A,0)),"")</f>
        <v>46034</v>
      </c>
      <c r="G40" s="43" t="n">
        <f aca="false">IFERROR(F40+180,"")</f>
        <v>46214</v>
      </c>
      <c r="H40" s="33" t="n">
        <f aca="true">IFERROR(G40-TODAY(),"")</f>
        <v>60</v>
      </c>
      <c r="I40" s="36" t="str">
        <f aca="false">IFERROR(IF(H40&lt;0,"⚠ OVERDUE",IF(H40&lt;=30,"🔴 DUE SOON",IF(H40&lt;=60,"🟡 UPCOMING","✅ OK"))),"")</f>
        <v>🟡 UPCOMING</v>
      </c>
    </row>
    <row r="41" customFormat="false" ht="18" hidden="false" customHeight="true" outlineLevel="0" collapsed="false">
      <c r="B41" s="41" t="s">
        <v>63</v>
      </c>
      <c r="C41" s="30" t="str">
        <f aca="false">IFERROR(INDEX('US Employee Database'!B:B,MATCH("US2020",'US Employee Database'!A:A,0)),"")</f>
        <v>Chitra Brown</v>
      </c>
      <c r="D41" s="28" t="str">
        <f aca="false">IFERROR(INDEX('US Employee Database'!C:C,MATCH("US2020",'US Employee Database'!A:A,0)),"")</f>
        <v>Product</v>
      </c>
      <c r="E41" s="28" t="s">
        <v>62</v>
      </c>
      <c r="F41" s="42" t="n">
        <f aca="false">IFERROR(INDEX('US Employee Database'!I:I,MATCH("US2020",'US Employee Database'!A:A,0)),"")</f>
        <v>46093</v>
      </c>
      <c r="G41" s="42" t="n">
        <f aca="false">IFERROR(F41+180,"")</f>
        <v>46273</v>
      </c>
      <c r="H41" s="26" t="n">
        <f aca="true">IFERROR(G41-TODAY(),"")</f>
        <v>119</v>
      </c>
      <c r="I41" s="29" t="str">
        <f aca="false">IFERROR(IF(H41&lt;0,"⚠ OVERDUE",IF(H41&lt;=30,"🔴 DUE SOON",IF(H41&lt;=60,"🟡 UPCOMING","✅ OK"))),"")</f>
        <v>✅ OK</v>
      </c>
    </row>
    <row r="43" customFormat="false" ht="9.75" hidden="false" customHeight="true" outlineLevel="0" collapsed="false"/>
    <row r="44" customFormat="false" ht="21.75" hidden="false" customHeight="true" outlineLevel="0" collapsed="false">
      <c r="B44" s="3" t="s">
        <v>64</v>
      </c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9.5" hidden="false" customHeight="true" outlineLevel="0" collapsed="false">
      <c r="B45" s="25" t="s">
        <v>48</v>
      </c>
      <c r="C45" s="25" t="s">
        <v>65</v>
      </c>
      <c r="D45" s="25" t="s">
        <v>29</v>
      </c>
      <c r="E45" s="25" t="s">
        <v>50</v>
      </c>
      <c r="F45" s="25" t="s">
        <v>66</v>
      </c>
      <c r="G45" s="25" t="s">
        <v>67</v>
      </c>
      <c r="H45" s="25" t="s">
        <v>53</v>
      </c>
      <c r="I45" s="25" t="s">
        <v>68</v>
      </c>
    </row>
    <row r="46" customFormat="false" ht="18" hidden="false" customHeight="true" outlineLevel="0" collapsed="false">
      <c r="B46" s="41" t="s">
        <v>69</v>
      </c>
      <c r="C46" s="30" t="str">
        <f aca="false">IFERROR(INDEX('India Employee Database'!B:B,MATCH("IN1020",'India Employee Database'!A:A,0)),"")</f>
        <v>Akash Thompson</v>
      </c>
      <c r="D46" s="28" t="str">
        <f aca="false">IFERROR(INDEX('India Employee Database'!C:C,MATCH("IN1020",'India Employee Database'!A:A,0)),"")</f>
        <v>Product</v>
      </c>
      <c r="E46" s="28" t="s">
        <v>56</v>
      </c>
      <c r="F46" s="28" t="str">
        <f aca="false">IFERROR(INDEX('India Employee Database'!E:E,MATCH("IN1020",'India Employee Database'!A:A,0)),"")</f>
        <v>Priya Menon</v>
      </c>
      <c r="G46" s="42" t="n">
        <f aca="false">IFERROR(INDEX('India Employee Database'!I:I,MATCH("IN1020",'India Employee Database'!A:A,0)),"")</f>
        <v>46161</v>
      </c>
      <c r="H46" s="26" t="n">
        <f aca="true">IFERROR(G46-TODAY(),"")</f>
        <v>7</v>
      </c>
      <c r="I46" s="29" t="str">
        <f aca="false">IFERROR(IF(H46&lt;15,"🔴 CRITICAL",IF(H46&lt;30,"🟠 HIGH",IF(H46&lt;45,"🟡 UPCOMING","✅ OK"))),"")</f>
        <v>🔴 CRITICAL</v>
      </c>
    </row>
    <row r="47" customFormat="false" ht="18" hidden="false" customHeight="true" outlineLevel="0" collapsed="false">
      <c r="B47" s="41" t="s">
        <v>70</v>
      </c>
      <c r="C47" s="37" t="str">
        <f aca="false">IFERROR(INDEX('India Employee Database'!B:B,MATCH("IN1024",'India Employee Database'!A:A,0)),"")</f>
        <v>Amit Verma</v>
      </c>
      <c r="D47" s="35" t="str">
        <f aca="false">IFERROR(INDEX('India Employee Database'!C:C,MATCH("IN1024",'India Employee Database'!A:A,0)),"")</f>
        <v>Sales</v>
      </c>
      <c r="E47" s="35" t="s">
        <v>56</v>
      </c>
      <c r="F47" s="35" t="str">
        <f aca="false">IFERROR(INDEX('India Employee Database'!E:E,MATCH("IN1024",'India Employee Database'!A:A,0)),"")</f>
        <v>Anjali Garcia</v>
      </c>
      <c r="G47" s="43" t="n">
        <f aca="false">IFERROR(INDEX('India Employee Database'!I:I,MATCH("IN1024",'India Employee Database'!A:A,0)),"")</f>
        <v>46182</v>
      </c>
      <c r="H47" s="33" t="n">
        <f aca="true">IFERROR(G47-TODAY(),"")</f>
        <v>28</v>
      </c>
      <c r="I47" s="36" t="str">
        <f aca="false">IFERROR(IF(H47&lt;15,"🔴 CRITICAL",IF(H47&lt;30,"🟠 HIGH",IF(H47&lt;45,"🟡 UPCOMING","✅ OK"))),"")</f>
        <v>🟠 HIGH</v>
      </c>
    </row>
    <row r="48" customFormat="false" ht="18" hidden="false" customHeight="true" outlineLevel="0" collapsed="false">
      <c r="B48" s="41" t="s">
        <v>71</v>
      </c>
      <c r="C48" s="30" t="str">
        <f aca="false">IFERROR(INDEX('India Employee Database'!B:B,MATCH("IN1036",'India Employee Database'!A:A,0)),"")</f>
        <v>Michael Mehta</v>
      </c>
      <c r="D48" s="28" t="str">
        <f aca="false">IFERROR(INDEX('India Employee Database'!C:C,MATCH("IN1036",'India Employee Database'!A:A,0)),"")</f>
        <v>Design</v>
      </c>
      <c r="E48" s="28" t="s">
        <v>56</v>
      </c>
      <c r="F48" s="28" t="str">
        <f aca="false">IFERROR(INDEX('India Employee Database'!E:E,MATCH("IN1036",'India Employee Database'!A:A,0)),"")</f>
        <v>Pooja Shah</v>
      </c>
      <c r="G48" s="42" t="n">
        <f aca="false">IFERROR(INDEX('India Employee Database'!I:I,MATCH("IN1036",'India Employee Database'!A:A,0)),"")</f>
        <v>46183</v>
      </c>
      <c r="H48" s="26" t="n">
        <f aca="true">IFERROR(G48-TODAY(),"")</f>
        <v>29</v>
      </c>
      <c r="I48" s="29" t="str">
        <f aca="false">IFERROR(IF(H48&lt;15,"🔴 CRITICAL",IF(H48&lt;30,"🟠 HIGH",IF(H48&lt;45,"🟡 UPCOMING","✅ OK"))),"")</f>
        <v>🟠 HIGH</v>
      </c>
    </row>
    <row r="49" customFormat="false" ht="18" hidden="false" customHeight="true" outlineLevel="0" collapsed="false">
      <c r="B49" s="41" t="s">
        <v>72</v>
      </c>
      <c r="C49" s="37" t="str">
        <f aca="false">IFERROR(INDEX('India Employee Database'!B:B,MATCH("IN1065",'India Employee Database'!A:A,0)),"")</f>
        <v>Michael Robinson</v>
      </c>
      <c r="D49" s="35" t="str">
        <f aca="false">IFERROR(INDEX('India Employee Database'!C:C,MATCH("IN1065",'India Employee Database'!A:A,0)),"")</f>
        <v>Sales</v>
      </c>
      <c r="E49" s="35" t="s">
        <v>56</v>
      </c>
      <c r="F49" s="35" t="str">
        <f aca="false">IFERROR(INDEX('India Employee Database'!E:E,MATCH("IN1065",'India Employee Database'!A:A,0)),"")</f>
        <v>Anjali Garcia</v>
      </c>
      <c r="G49" s="43" t="n">
        <f aca="false">IFERROR(INDEX('India Employee Database'!I:I,MATCH("IN1065",'India Employee Database'!A:A,0)),"")</f>
        <v>46192</v>
      </c>
      <c r="H49" s="33" t="n">
        <f aca="true">IFERROR(G49-TODAY(),"")</f>
        <v>38</v>
      </c>
      <c r="I49" s="36" t="str">
        <f aca="false">IFERROR(IF(H49&lt;15,"🔴 CRITICAL",IF(H49&lt;30,"🟠 HIGH",IF(H49&lt;45,"🟡 UPCOMING","✅ OK"))),"")</f>
        <v>🟡 UPCOMING</v>
      </c>
    </row>
    <row r="50" customFormat="false" ht="18" hidden="false" customHeight="true" outlineLevel="0" collapsed="false">
      <c r="B50" s="41" t="s">
        <v>73</v>
      </c>
      <c r="C50" s="30" t="str">
        <f aca="false">IFERROR(INDEX('India Employee Database'!B:B,MATCH("IN1048",'India Employee Database'!A:A,0)),"")</f>
        <v>Akash Reddy</v>
      </c>
      <c r="D50" s="28" t="str">
        <f aca="false">IFERROR(INDEX('India Employee Database'!C:C,MATCH("IN1048",'India Employee Database'!A:A,0)),"")</f>
        <v>Legal</v>
      </c>
      <c r="E50" s="28" t="s">
        <v>56</v>
      </c>
      <c r="F50" s="28" t="str">
        <f aca="false">IFERROR(INDEX('India Employee Database'!E:E,MATCH("IN1048",'India Employee Database'!A:A,0)),"")</f>
        <v>Divya Shah</v>
      </c>
      <c r="G50" s="42" t="n">
        <f aca="false">IFERROR(INDEX('India Employee Database'!I:I,MATCH("IN1048",'India Employee Database'!A:A,0)),"")</f>
        <v>46227</v>
      </c>
      <c r="H50" s="26" t="n">
        <f aca="true">IFERROR(G50-TODAY(),"")</f>
        <v>73</v>
      </c>
      <c r="I50" s="29" t="str">
        <f aca="false">IFERROR(IF(H50&lt;15,"🔴 CRITICAL",IF(H50&lt;30,"🟠 HIGH",IF(H50&lt;45,"🟡 UPCOMING","✅ OK"))),"")</f>
        <v>✅ OK</v>
      </c>
    </row>
    <row r="51" customFormat="false" ht="18" hidden="false" customHeight="true" outlineLevel="0" collapsed="false">
      <c r="B51" s="41" t="s">
        <v>74</v>
      </c>
      <c r="C51" s="37" t="str">
        <f aca="false">IFERROR(INDEX('India Employee Database'!B:B,MATCH("IN1046",'India Employee Database'!A:A,0)),"")</f>
        <v>Chitra Menon</v>
      </c>
      <c r="D51" s="35" t="str">
        <f aca="false">IFERROR(INDEX('India Employee Database'!C:C,MATCH("IN1046",'India Employee Database'!A:A,0)),"")</f>
        <v>Engineering</v>
      </c>
      <c r="E51" s="35" t="s">
        <v>56</v>
      </c>
      <c r="F51" s="35" t="str">
        <f aca="false">IFERROR(INDEX('India Employee Database'!E:E,MATCH("IN1046",'India Employee Database'!A:A,0)),"")</f>
        <v>William Nair</v>
      </c>
      <c r="G51" s="43" t="n">
        <f aca="false">IFERROR(INDEX('India Employee Database'!I:I,MATCH("IN1046",'India Employee Database'!A:A,0)),"")</f>
        <v>46234</v>
      </c>
      <c r="H51" s="33" t="n">
        <f aca="true">IFERROR(G51-TODAY(),"")</f>
        <v>80</v>
      </c>
      <c r="I51" s="36" t="str">
        <f aca="false">IFERROR(IF(H51&lt;15,"🔴 CRITICAL",IF(H51&lt;30,"🟠 HIGH",IF(H51&lt;45,"🟡 UPCOMING","✅ OK"))),"")</f>
        <v>✅ OK</v>
      </c>
    </row>
    <row r="52" customFormat="false" ht="18" hidden="false" customHeight="true" outlineLevel="0" collapsed="false">
      <c r="B52" s="41" t="s">
        <v>75</v>
      </c>
      <c r="C52" s="30" t="str">
        <f aca="false">IFERROR(INDEX('US Employee Database'!B:B,MATCH("US2011",'US Employee Database'!A:A,0)),"")</f>
        <v>Nandini Taylor</v>
      </c>
      <c r="D52" s="28" t="str">
        <f aca="false">IFERROR(INDEX('US Employee Database'!C:C,MATCH("US2011",'US Employee Database'!A:A,0)),"")</f>
        <v>Design</v>
      </c>
      <c r="E52" s="28" t="s">
        <v>62</v>
      </c>
      <c r="F52" s="28" t="str">
        <f aca="false">IFERROR(INDEX('US Employee Database'!E:E,MATCH("US2011",'US Employee Database'!A:A,0)),"")</f>
        <v>Pooja Shah</v>
      </c>
      <c r="G52" s="42" t="n">
        <f aca="false">IFERROR(INDEX('US Employee Database'!K:K,MATCH("US2011",'US Employee Database'!A:A,0)),"")</f>
        <v>46194</v>
      </c>
      <c r="H52" s="26" t="n">
        <f aca="true">IFERROR(G52-TODAY(),"")</f>
        <v>40</v>
      </c>
      <c r="I52" s="29" t="str">
        <f aca="false">IFERROR(IF(H52&lt;15,"🔴 CRITICAL",IF(H52&lt;30,"🟠 HIGH",IF(H52&lt;45,"🟡 UPCOMING","✅ OK"))),"")</f>
        <v>🟡 UPCOMING</v>
      </c>
    </row>
    <row r="54" customFormat="false" ht="9.75" hidden="false" customHeight="true" outlineLevel="0" collapsed="false"/>
    <row r="55" customFormat="false" ht="21.75" hidden="false" customHeight="true" outlineLevel="0" collapsed="false">
      <c r="B55" s="3" t="s">
        <v>76</v>
      </c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9.5" hidden="false" customHeight="true" outlineLevel="0" collapsed="false">
      <c r="B56" s="25" t="s">
        <v>48</v>
      </c>
      <c r="C56" s="25" t="s">
        <v>77</v>
      </c>
      <c r="D56" s="25" t="s">
        <v>29</v>
      </c>
      <c r="E56" s="25" t="s">
        <v>50</v>
      </c>
      <c r="F56" s="25" t="s">
        <v>78</v>
      </c>
      <c r="G56" s="25" t="s">
        <v>79</v>
      </c>
      <c r="H56" s="25" t="s">
        <v>54</v>
      </c>
      <c r="I56" s="25" t="s">
        <v>80</v>
      </c>
    </row>
    <row r="57" customFormat="false" ht="18" hidden="false" customHeight="true" outlineLevel="0" collapsed="false">
      <c r="B57" s="44" t="s">
        <v>81</v>
      </c>
      <c r="C57" s="28" t="str">
        <f aca="false">IFERROR(INDEX('Risk Report'!B:B,MATCH("IN1042",'Risk Report'!A:A,0)),"")</f>
        <v>Suresh Moore</v>
      </c>
      <c r="D57" s="28" t="str">
        <f aca="false">IFERROR(INDEX('Risk Report'!C:C,MATCH("IN1042",'Risk Report'!A:A,0)),"")</f>
        <v>Legal</v>
      </c>
      <c r="E57" s="28" t="str">
        <f aca="false">IFERROR(INDEX('Risk Report'!D:D,MATCH("IN1042",'Risk Report'!A:A,0)),"")</f>
        <v>India</v>
      </c>
      <c r="F57" s="28" t="str">
        <f aca="false">IFERROR(INDEX('Risk Report'!E:E,MATCH("IN1042",'Risk Report'!A:A,0)),"")</f>
        <v>Interpersonal Conflict</v>
      </c>
      <c r="G57" s="45" t="str">
        <f aca="false">IFERROR(INDEX('Risk Report'!F:F,MATCH("IN1042",'Risk Report'!A:A,0)),"")</f>
        <v>Low</v>
      </c>
      <c r="H57" s="28" t="str">
        <f aca="false">IFERROR(INDEX('Risk Report'!I:I,MATCH("IN1042",'Risk Report'!A:A,0)),"")</f>
        <v>In Progress</v>
      </c>
      <c r="I57" s="28" t="str">
        <f aca="false">IFERROR(INDEX('Risk Report'!H:H,MATCH("IN1042",'Risk Report'!A:A,0)),"")</f>
        <v>Counseling Arranged</v>
      </c>
    </row>
    <row r="58" customFormat="false" ht="18" hidden="false" customHeight="true" outlineLevel="0" collapsed="false">
      <c r="B58" s="44" t="s">
        <v>82</v>
      </c>
      <c r="C58" s="35" t="str">
        <f aca="false">IFERROR(INDEX('Risk Report'!B:B,MATCH("US2008",'Risk Report'!A:A,0)),"")</f>
        <v>Pallavi Shah</v>
      </c>
      <c r="D58" s="35" t="str">
        <f aca="false">IFERROR(INDEX('Risk Report'!C:C,MATCH("US2008",'Risk Report'!A:A,0)),"")</f>
        <v>Operations</v>
      </c>
      <c r="E58" s="35" t="str">
        <f aca="false">IFERROR(INDEX('Risk Report'!D:D,MATCH("US2008",'Risk Report'!A:A,0)),"")</f>
        <v>US</v>
      </c>
      <c r="F58" s="35" t="str">
        <f aca="false">IFERROR(INDEX('Risk Report'!E:E,MATCH("US2008",'Risk Report'!A:A,0)),"")</f>
        <v>Performance Issue</v>
      </c>
      <c r="G58" s="46" t="str">
        <f aca="false">IFERROR(INDEX('Risk Report'!F:F,MATCH("US2008",'Risk Report'!A:A,0)),"")</f>
        <v>Medium</v>
      </c>
      <c r="H58" s="35" t="str">
        <f aca="false">IFERROR(INDEX('Risk Report'!I:I,MATCH("US2008",'Risk Report'!A:A,0)),"")</f>
        <v>Resolved</v>
      </c>
      <c r="I58" s="35" t="str">
        <f aca="false">IFERROR(INDEX('Risk Report'!H:H,MATCH("US2008",'Risk Report'!A:A,0)),"")</f>
        <v>Escalated to VP</v>
      </c>
    </row>
    <row r="59" customFormat="false" ht="18" hidden="false" customHeight="true" outlineLevel="0" collapsed="false">
      <c r="B59" s="44" t="s">
        <v>83</v>
      </c>
      <c r="C59" s="28" t="str">
        <f aca="false">IFERROR(INDEX('Risk Report'!B:B,MATCH("US2014",'Risk Report'!A:A,0)),"")</f>
        <v>Rahul Patel</v>
      </c>
      <c r="D59" s="28" t="str">
        <f aca="false">IFERROR(INDEX('Risk Report'!C:C,MATCH("US2014",'Risk Report'!A:A,0)),"")</f>
        <v>HR</v>
      </c>
      <c r="E59" s="28" t="str">
        <f aca="false">IFERROR(INDEX('Risk Report'!D:D,MATCH("US2014",'Risk Report'!A:A,0)),"")</f>
        <v>US</v>
      </c>
      <c r="F59" s="28" t="str">
        <f aca="false">IFERROR(INDEX('Risk Report'!E:E,MATCH("US2014",'Risk Report'!A:A,0)),"")</f>
        <v>Health &amp; Well-being</v>
      </c>
      <c r="G59" s="45" t="str">
        <f aca="false">IFERROR(INDEX('Risk Report'!F:F,MATCH("US2014",'Risk Report'!A:A,0)),"")</f>
        <v>Medium</v>
      </c>
      <c r="H59" s="28" t="str">
        <f aca="false">IFERROR(INDEX('Risk Report'!I:I,MATCH("US2014",'Risk Report'!A:A,0)),"")</f>
        <v>In Progress</v>
      </c>
      <c r="I59" s="28" t="str">
        <f aca="false">IFERROR(INDEX('Risk Report'!H:H,MATCH("US2014",'Risk Report'!A:A,0)),"")</f>
        <v>Counseling Arranged</v>
      </c>
    </row>
    <row r="60" customFormat="false" ht="18" hidden="false" customHeight="true" outlineLevel="0" collapsed="false">
      <c r="B60" s="44" t="s">
        <v>84</v>
      </c>
      <c r="C60" s="35" t="str">
        <f aca="false">IFERROR(INDEX('Risk Report'!B:B,MATCH("IN1039",'Risk Report'!A:A,0)),"")</f>
        <v>Ravi Davis</v>
      </c>
      <c r="D60" s="35" t="str">
        <f aca="false">IFERROR(INDEX('Risk Report'!C:C,MATCH("IN1039",'Risk Report'!A:A,0)),"")</f>
        <v>Design</v>
      </c>
      <c r="E60" s="35" t="str">
        <f aca="false">IFERROR(INDEX('Risk Report'!D:D,MATCH("IN1039",'Risk Report'!A:A,0)),"")</f>
        <v>India</v>
      </c>
      <c r="F60" s="35" t="str">
        <f aca="false">IFERROR(INDEX('Risk Report'!E:E,MATCH("IN1039",'Risk Report'!A:A,0)),"")</f>
        <v>Health &amp; Well-being</v>
      </c>
      <c r="G60" s="46" t="str">
        <f aca="false">IFERROR(INDEX('Risk Report'!F:F,MATCH("IN1039",'Risk Report'!A:A,0)),"")</f>
        <v>Medium</v>
      </c>
      <c r="H60" s="35" t="str">
        <f aca="false">IFERROR(INDEX('Risk Report'!I:I,MATCH("IN1039",'Risk Report'!A:A,0)),"")</f>
        <v>Open</v>
      </c>
      <c r="I60" s="35" t="str">
        <f aca="false">IFERROR(INDEX('Risk Report'!H:H,MATCH("IN1039",'Risk Report'!A:A,0)),"")</f>
        <v>Training Assigned</v>
      </c>
    </row>
    <row r="61" customFormat="false" ht="18" hidden="false" customHeight="true" outlineLevel="0" collapsed="false">
      <c r="B61" s="44" t="s">
        <v>85</v>
      </c>
      <c r="C61" s="28" t="str">
        <f aca="false">IFERROR(INDEX('Risk Report'!B:B,MATCH("US2018",'Risk Report'!A:A,0)),"")</f>
        <v>Stephanie Rao</v>
      </c>
      <c r="D61" s="28" t="str">
        <f aca="false">IFERROR(INDEX('Risk Report'!C:C,MATCH("US2018",'Risk Report'!A:A,0)),"")</f>
        <v>Product</v>
      </c>
      <c r="E61" s="28" t="str">
        <f aca="false">IFERROR(INDEX('Risk Report'!D:D,MATCH("US2018",'Risk Report'!A:A,0)),"")</f>
        <v>US</v>
      </c>
      <c r="F61" s="28" t="str">
        <f aca="false">IFERROR(INDEX('Risk Report'!E:E,MATCH("US2018",'Risk Report'!A:A,0)),"")</f>
        <v>Skill Gap</v>
      </c>
      <c r="G61" s="45" t="str">
        <f aca="false">IFERROR(INDEX('Risk Report'!F:F,MATCH("US2018",'Risk Report'!A:A,0)),"")</f>
        <v>Low</v>
      </c>
      <c r="H61" s="28" t="str">
        <f aca="false">IFERROR(INDEX('Risk Report'!I:I,MATCH("US2018",'Risk Report'!A:A,0)),"")</f>
        <v>In Progress</v>
      </c>
      <c r="I61" s="28" t="str">
        <f aca="false">IFERROR(INDEX('Risk Report'!H:H,MATCH("US2018",'Risk Report'!A:A,0)),"")</f>
        <v>1:1 Scheduled</v>
      </c>
    </row>
    <row r="62" customFormat="false" ht="18" hidden="false" customHeight="true" outlineLevel="0" collapsed="false">
      <c r="B62" s="44" t="s">
        <v>86</v>
      </c>
      <c r="C62" s="35" t="str">
        <f aca="false">IFERROR(INDEX('Risk Report'!B:B,MATCH("US2004",'Risk Report'!A:A,0)),"")</f>
        <v>Arjun Reddy</v>
      </c>
      <c r="D62" s="35" t="str">
        <f aca="false">IFERROR(INDEX('Risk Report'!C:C,MATCH("US2004",'Risk Report'!A:A,0)),"")</f>
        <v>HR</v>
      </c>
      <c r="E62" s="35" t="str">
        <f aca="false">IFERROR(INDEX('Risk Report'!D:D,MATCH("US2004",'Risk Report'!A:A,0)),"")</f>
        <v>US</v>
      </c>
      <c r="F62" s="35" t="str">
        <f aca="false">IFERROR(INDEX('Risk Report'!E:E,MATCH("US2004",'Risk Report'!A:A,0)),"")</f>
        <v>Skill Gap</v>
      </c>
      <c r="G62" s="46" t="str">
        <f aca="false">IFERROR(INDEX('Risk Report'!F:F,MATCH("US2004",'Risk Report'!A:A,0)),"")</f>
        <v>High</v>
      </c>
      <c r="H62" s="35" t="str">
        <f aca="false">IFERROR(INDEX('Risk Report'!I:I,MATCH("US2004",'Risk Report'!A:A,0)),"")</f>
        <v>In Progress</v>
      </c>
      <c r="I62" s="35" t="str">
        <f aca="false">IFERROR(INDEX('Risk Report'!H:H,MATCH("US2004",'Risk Report'!A:A,0)),"")</f>
        <v>PIP Initiated</v>
      </c>
    </row>
    <row r="63" customFormat="false" ht="18" hidden="false" customHeight="true" outlineLevel="0" collapsed="false">
      <c r="B63" s="44" t="s">
        <v>87</v>
      </c>
      <c r="C63" s="28" t="str">
        <f aca="false">IFERROR(INDEX('Risk Report'!B:B,MATCH("IN1019",'Risk Report'!A:A,0)),"")</f>
        <v>Emily Patel</v>
      </c>
      <c r="D63" s="28" t="str">
        <f aca="false">IFERROR(INDEX('Risk Report'!C:C,MATCH("IN1019",'Risk Report'!A:A,0)),"")</f>
        <v>Product</v>
      </c>
      <c r="E63" s="28" t="str">
        <f aca="false">IFERROR(INDEX('Risk Report'!D:D,MATCH("IN1019",'Risk Report'!A:A,0)),"")</f>
        <v>India</v>
      </c>
      <c r="F63" s="28" t="str">
        <f aca="false">IFERROR(INDEX('Risk Report'!E:E,MATCH("IN1019",'Risk Report'!A:A,0)),"")</f>
        <v>Flight Risk</v>
      </c>
      <c r="G63" s="45" t="str">
        <f aca="false">IFERROR(INDEX('Risk Report'!F:F,MATCH("IN1019",'Risk Report'!A:A,0)),"")</f>
        <v>Low</v>
      </c>
      <c r="H63" s="28" t="str">
        <f aca="false">IFERROR(INDEX('Risk Report'!I:I,MATCH("IN1019",'Risk Report'!A:A,0)),"")</f>
        <v>Open</v>
      </c>
      <c r="I63" s="28" t="str">
        <f aca="false">IFERROR(INDEX('Risk Report'!H:H,MATCH("IN1019",'Risk Report'!A:A,0)),"")</f>
        <v>Escalated to VP</v>
      </c>
    </row>
    <row r="64" customFormat="false" ht="18" hidden="false" customHeight="true" outlineLevel="0" collapsed="false">
      <c r="B64" s="44" t="s">
        <v>88</v>
      </c>
      <c r="C64" s="35" t="str">
        <f aca="false">IFERROR(INDEX('Risk Report'!B:B,MATCH("US2002",'Risk Report'!A:A,0)),"")</f>
        <v>Steven Desai</v>
      </c>
      <c r="D64" s="35" t="str">
        <f aca="false">IFERROR(INDEX('Risk Report'!C:C,MATCH("US2002",'Risk Report'!A:A,0)),"")</f>
        <v>Finance</v>
      </c>
      <c r="E64" s="35" t="str">
        <f aca="false">IFERROR(INDEX('Risk Report'!D:D,MATCH("US2002",'Risk Report'!A:A,0)),"")</f>
        <v>US</v>
      </c>
      <c r="F64" s="35" t="str">
        <f aca="false">IFERROR(INDEX('Risk Report'!E:E,MATCH("US2002",'Risk Report'!A:A,0)),"")</f>
        <v>Interpersonal Conflict</v>
      </c>
      <c r="G64" s="46" t="str">
        <f aca="false">IFERROR(INDEX('Risk Report'!F:F,MATCH("US2002",'Risk Report'!A:A,0)),"")</f>
        <v>Low</v>
      </c>
      <c r="H64" s="35" t="str">
        <f aca="false">IFERROR(INDEX('Risk Report'!I:I,MATCH("US2002",'Risk Report'!A:A,0)),"")</f>
        <v>Resolved</v>
      </c>
      <c r="I64" s="35" t="str">
        <f aca="false">IFERROR(INDEX('Risk Report'!H:H,MATCH("US2002",'Risk Report'!A:A,0)),"")</f>
        <v>1:1 Scheduled</v>
      </c>
    </row>
    <row r="65" customFormat="false" ht="18" hidden="false" customHeight="true" outlineLevel="0" collapsed="false">
      <c r="B65" s="44" t="s">
        <v>74</v>
      </c>
      <c r="C65" s="28" t="str">
        <f aca="false">IFERROR(INDEX('Risk Report'!B:B,MATCH("IN1046",'Risk Report'!A:A,0)),"")</f>
        <v>Chitra Menon</v>
      </c>
      <c r="D65" s="28" t="str">
        <f aca="false">IFERROR(INDEX('Risk Report'!C:C,MATCH("IN1046",'Risk Report'!A:A,0)),"")</f>
        <v>Engineering</v>
      </c>
      <c r="E65" s="28" t="str">
        <f aca="false">IFERROR(INDEX('Risk Report'!D:D,MATCH("IN1046",'Risk Report'!A:A,0)),"")</f>
        <v>India</v>
      </c>
      <c r="F65" s="28" t="str">
        <f aca="false">IFERROR(INDEX('Risk Report'!E:E,MATCH("IN1046",'Risk Report'!A:A,0)),"")</f>
        <v>Skill Gap</v>
      </c>
      <c r="G65" s="45" t="str">
        <f aca="false">IFERROR(INDEX('Risk Report'!F:F,MATCH("IN1046",'Risk Report'!A:A,0)),"")</f>
        <v>Medium</v>
      </c>
      <c r="H65" s="28" t="str">
        <f aca="false">IFERROR(INDEX('Risk Report'!I:I,MATCH("IN1046",'Risk Report'!A:A,0)),"")</f>
        <v>Open</v>
      </c>
      <c r="I65" s="28" t="str">
        <f aca="false">IFERROR(INDEX('Risk Report'!H:H,MATCH("IN1046",'Risk Report'!A:A,0)),"")</f>
        <v>PIP Initiated</v>
      </c>
    </row>
    <row r="66" customFormat="false" ht="18" hidden="false" customHeight="true" outlineLevel="0" collapsed="false">
      <c r="B66" s="44" t="s">
        <v>89</v>
      </c>
      <c r="C66" s="35" t="str">
        <f aca="false">IFERROR(INDEX('Risk Report'!B:B,MATCH("IN1040",'Risk Report'!A:A,0)),"")</f>
        <v>Aditya Taylor</v>
      </c>
      <c r="D66" s="35" t="str">
        <f aca="false">IFERROR(INDEX('Risk Report'!C:C,MATCH("IN1040",'Risk Report'!A:A,0)),"")</f>
        <v>Data Science</v>
      </c>
      <c r="E66" s="35" t="str">
        <f aca="false">IFERROR(INDEX('Risk Report'!D:D,MATCH("IN1040",'Risk Report'!A:A,0)),"")</f>
        <v>India</v>
      </c>
      <c r="F66" s="35" t="str">
        <f aca="false">IFERROR(INDEX('Risk Report'!E:E,MATCH("IN1040",'Risk Report'!A:A,0)),"")</f>
        <v>Skill Gap</v>
      </c>
      <c r="G66" s="46" t="str">
        <f aca="false">IFERROR(INDEX('Risk Report'!F:F,MATCH("IN1040",'Risk Report'!A:A,0)),"")</f>
        <v>Medium</v>
      </c>
      <c r="H66" s="35" t="str">
        <f aca="false">IFERROR(INDEX('Risk Report'!I:I,MATCH("IN1040",'Risk Report'!A:A,0)),"")</f>
        <v>In Progress</v>
      </c>
      <c r="I66" s="35" t="str">
        <f aca="false">IFERROR(INDEX('Risk Report'!H:H,MATCH("IN1040",'Risk Report'!A:A,0)),"")</f>
        <v>Training Assigned</v>
      </c>
    </row>
    <row r="67" customFormat="false" ht="18" hidden="false" customHeight="true" outlineLevel="0" collapsed="false">
      <c r="B67" s="44" t="s">
        <v>59</v>
      </c>
      <c r="C67" s="28" t="str">
        <f aca="false">IFERROR(INDEX('Risk Report'!B:B,MATCH("IN1054",'Risk Report'!A:A,0)),"")</f>
        <v>Amit Patel</v>
      </c>
      <c r="D67" s="28" t="str">
        <f aca="false">IFERROR(INDEX('Risk Report'!C:C,MATCH("IN1054",'Risk Report'!A:A,0)),"")</f>
        <v>HR</v>
      </c>
      <c r="E67" s="28" t="str">
        <f aca="false">IFERROR(INDEX('Risk Report'!D:D,MATCH("IN1054",'Risk Report'!A:A,0)),"")</f>
        <v>India</v>
      </c>
      <c r="F67" s="28" t="str">
        <f aca="false">IFERROR(INDEX('Risk Report'!E:E,MATCH("IN1054",'Risk Report'!A:A,0)),"")</f>
        <v>Compliance Concern</v>
      </c>
      <c r="G67" s="45" t="str">
        <f aca="false">IFERROR(INDEX('Risk Report'!F:F,MATCH("IN1054",'Risk Report'!A:A,0)),"")</f>
        <v>High</v>
      </c>
      <c r="H67" s="28" t="str">
        <f aca="false">IFERROR(INDEX('Risk Report'!I:I,MATCH("IN1054",'Risk Report'!A:A,0)),"")</f>
        <v>Open</v>
      </c>
      <c r="I67" s="28" t="str">
        <f aca="false">IFERROR(INDEX('Risk Report'!H:H,MATCH("IN1054",'Risk Report'!A:A,0)),"")</f>
        <v>Counseling Arranged</v>
      </c>
    </row>
    <row r="68" customFormat="false" ht="18" hidden="false" customHeight="true" outlineLevel="0" collapsed="false">
      <c r="B68" s="44" t="s">
        <v>90</v>
      </c>
      <c r="C68" s="35" t="str">
        <f aca="false">IFERROR(INDEX('Risk Report'!B:B,MATCH("IN1021",'Risk Report'!A:A,0)),"")</f>
        <v>Laura Iyer</v>
      </c>
      <c r="D68" s="35" t="str">
        <f aca="false">IFERROR(INDEX('Risk Report'!C:C,MATCH("IN1021",'Risk Report'!A:A,0)),"")</f>
        <v>Design</v>
      </c>
      <c r="E68" s="35" t="str">
        <f aca="false">IFERROR(INDEX('Risk Report'!D:D,MATCH("IN1021",'Risk Report'!A:A,0)),"")</f>
        <v>India</v>
      </c>
      <c r="F68" s="35" t="str">
        <f aca="false">IFERROR(INDEX('Risk Report'!E:E,MATCH("IN1021",'Risk Report'!A:A,0)),"")</f>
        <v>Interpersonal Conflict</v>
      </c>
      <c r="G68" s="46" t="str">
        <f aca="false">IFERROR(INDEX('Risk Report'!F:F,MATCH("IN1021",'Risk Report'!A:A,0)),"")</f>
        <v>Low</v>
      </c>
      <c r="H68" s="35" t="str">
        <f aca="false">IFERROR(INDEX('Risk Report'!I:I,MATCH("IN1021",'Risk Report'!A:A,0)),"")</f>
        <v>Open</v>
      </c>
      <c r="I68" s="35" t="str">
        <f aca="false">IFERROR(INDEX('Risk Report'!H:H,MATCH("IN1021",'Risk Report'!A:A,0)),"")</f>
        <v>Monitoring</v>
      </c>
    </row>
    <row r="69" customFormat="false" ht="18" hidden="false" customHeight="true" outlineLevel="0" collapsed="false">
      <c r="B69" s="44" t="s">
        <v>91</v>
      </c>
      <c r="C69" s="28" t="str">
        <f aca="false">IFERROR(INDEX('Risk Report'!B:B,MATCH("IN1000",'Risk Report'!A:A,0)),"")</f>
        <v>Priya Martin</v>
      </c>
      <c r="D69" s="28" t="str">
        <f aca="false">IFERROR(INDEX('Risk Report'!C:C,MATCH("IN1000",'Risk Report'!A:A,0)),"")</f>
        <v>HR</v>
      </c>
      <c r="E69" s="28" t="str">
        <f aca="false">IFERROR(INDEX('Risk Report'!D:D,MATCH("IN1000",'Risk Report'!A:A,0)),"")</f>
        <v>India</v>
      </c>
      <c r="F69" s="28" t="str">
        <f aca="false">IFERROR(INDEX('Risk Report'!E:E,MATCH("IN1000",'Risk Report'!A:A,0)),"")</f>
        <v>Skill Gap</v>
      </c>
      <c r="G69" s="45" t="str">
        <f aca="false">IFERROR(INDEX('Risk Report'!F:F,MATCH("IN1000",'Risk Report'!A:A,0)),"")</f>
        <v>Low</v>
      </c>
      <c r="H69" s="28" t="str">
        <f aca="false">IFERROR(INDEX('Risk Report'!I:I,MATCH("IN1000",'Risk Report'!A:A,0)),"")</f>
        <v>In Progress</v>
      </c>
      <c r="I69" s="28" t="str">
        <f aca="false">IFERROR(INDEX('Risk Report'!H:H,MATCH("IN1000",'Risk Report'!A:A,0)),"")</f>
        <v>1:1 Scheduled</v>
      </c>
    </row>
    <row r="70" customFormat="false" ht="18" hidden="false" customHeight="true" outlineLevel="0" collapsed="false">
      <c r="B70" s="44" t="s">
        <v>92</v>
      </c>
      <c r="C70" s="35" t="str">
        <f aca="false">IFERROR(INDEX('Risk Report'!B:B,MATCH("IN1031",'Risk Report'!A:A,0)),"")</f>
        <v>Sneha Harris</v>
      </c>
      <c r="D70" s="35" t="str">
        <f aca="false">IFERROR(INDEX('Risk Report'!C:C,MATCH("IN1031",'Risk Report'!A:A,0)),"")</f>
        <v>Engineering</v>
      </c>
      <c r="E70" s="35" t="str">
        <f aca="false">IFERROR(INDEX('Risk Report'!D:D,MATCH("IN1031",'Risk Report'!A:A,0)),"")</f>
        <v>India</v>
      </c>
      <c r="F70" s="35" t="str">
        <f aca="false">IFERROR(INDEX('Risk Report'!E:E,MATCH("IN1031",'Risk Report'!A:A,0)),"")</f>
        <v>Flight Risk</v>
      </c>
      <c r="G70" s="46" t="str">
        <f aca="false">IFERROR(INDEX('Risk Report'!F:F,MATCH("IN1031",'Risk Report'!A:A,0)),"")</f>
        <v>Low</v>
      </c>
      <c r="H70" s="35" t="str">
        <f aca="false">IFERROR(INDEX('Risk Report'!I:I,MATCH("IN1031",'Risk Report'!A:A,0)),"")</f>
        <v>Open</v>
      </c>
      <c r="I70" s="35" t="str">
        <f aca="false">IFERROR(INDEX('Risk Report'!H:H,MATCH("IN1031",'Risk Report'!A:A,0)),"")</f>
        <v>Escalated to VP</v>
      </c>
    </row>
    <row r="71" customFormat="false" ht="18" hidden="false" customHeight="true" outlineLevel="0" collapsed="false">
      <c r="B71" s="44" t="s">
        <v>93</v>
      </c>
      <c r="C71" s="28" t="str">
        <f aca="false">IFERROR(INDEX('Risk Report'!B:B,MATCH("IN1028",'Risk Report'!A:A,0)),"")</f>
        <v>Chitra Miller</v>
      </c>
      <c r="D71" s="28" t="str">
        <f aca="false">IFERROR(INDEX('Risk Report'!C:C,MATCH("IN1028",'Risk Report'!A:A,0)),"")</f>
        <v>Operations</v>
      </c>
      <c r="E71" s="28" t="str">
        <f aca="false">IFERROR(INDEX('Risk Report'!D:D,MATCH("IN1028",'Risk Report'!A:A,0)),"")</f>
        <v>India</v>
      </c>
      <c r="F71" s="28" t="str">
        <f aca="false">IFERROR(INDEX('Risk Report'!E:E,MATCH("IN1028",'Risk Report'!A:A,0)),"")</f>
        <v>Interpersonal Conflict</v>
      </c>
      <c r="G71" s="45" t="str">
        <f aca="false">IFERROR(INDEX('Risk Report'!F:F,MATCH("IN1028",'Risk Report'!A:A,0)),"")</f>
        <v>Low</v>
      </c>
      <c r="H71" s="28" t="str">
        <f aca="false">IFERROR(INDEX('Risk Report'!I:I,MATCH("IN1028",'Risk Report'!A:A,0)),"")</f>
        <v>Resolved</v>
      </c>
      <c r="I71" s="28" t="str">
        <f aca="false">IFERROR(INDEX('Risk Report'!H:H,MATCH("IN1028",'Risk Report'!A:A,0)),"")</f>
        <v>PIP Initiated</v>
      </c>
    </row>
    <row r="73" customFormat="false" ht="9.75" hidden="false" customHeight="true" outlineLevel="0" collapsed="false"/>
    <row r="74" customFormat="false" ht="21.75" hidden="false" customHeight="true" outlineLevel="0" collapsed="false">
      <c r="B74" s="3" t="s">
        <v>94</v>
      </c>
      <c r="C74" s="3"/>
      <c r="D74" s="3"/>
      <c r="E74" s="3"/>
      <c r="F74" s="3"/>
      <c r="G74" s="3"/>
      <c r="H74" s="3"/>
      <c r="I74" s="3"/>
      <c r="J74" s="3"/>
      <c r="K74" s="3"/>
    </row>
    <row r="75" customFormat="false" ht="27.75" hidden="false" customHeight="true" outlineLevel="0" collapsed="false">
      <c r="B75" s="4" t="s">
        <v>95</v>
      </c>
      <c r="C75" s="4"/>
      <c r="D75" s="5" t="s">
        <v>96</v>
      </c>
      <c r="E75" s="5"/>
      <c r="F75" s="6" t="s">
        <v>97</v>
      </c>
      <c r="G75" s="6"/>
      <c r="H75" s="7" t="s">
        <v>98</v>
      </c>
      <c r="I75" s="7"/>
      <c r="J75" s="8" t="s">
        <v>99</v>
      </c>
      <c r="K75" s="8"/>
    </row>
    <row r="76" customFormat="false" ht="36" hidden="false" customHeight="true" outlineLevel="0" collapsed="false">
      <c r="B76" s="47" t="n">
        <f aca="false">SUM(Finance!E:E)</f>
        <v>156903791</v>
      </c>
      <c r="C76" s="47"/>
      <c r="D76" s="48" t="n">
        <f aca="false">SUM(Finance!F:F)</f>
        <v>13075315.9166667</v>
      </c>
      <c r="E76" s="48"/>
      <c r="F76" s="49" t="n">
        <f aca="false">SUM(Finance!G:G)</f>
        <v>1879087</v>
      </c>
      <c r="G76" s="49"/>
      <c r="H76" s="50" t="n">
        <f aca="false">SUM(Finance!H:H)</f>
        <v>156590.583333333</v>
      </c>
      <c r="I76" s="50"/>
      <c r="J76" s="51" t="n">
        <f aca="false">SUMIF(Finance!D:D,"India",Finance!E:E)/SUM(Finance!E:E)</f>
        <v>0.682626546607787</v>
      </c>
      <c r="K76" s="51"/>
    </row>
    <row r="77" customFormat="false" ht="27.75" hidden="false" customHeight="true" outlineLevel="0" collapsed="false">
      <c r="B77" s="14" t="s">
        <v>100</v>
      </c>
      <c r="C77" s="14"/>
      <c r="D77" s="15" t="s">
        <v>100</v>
      </c>
      <c r="E77" s="15"/>
      <c r="F77" s="16" t="s">
        <v>100</v>
      </c>
      <c r="G77" s="16"/>
      <c r="H77" s="17" t="s">
        <v>100</v>
      </c>
      <c r="I77" s="17"/>
      <c r="J77" s="18" t="s">
        <v>100</v>
      </c>
      <c r="K77" s="18"/>
    </row>
    <row r="78" customFormat="false" ht="19.5" hidden="false" customHeight="true" outlineLevel="0" collapsed="false">
      <c r="H78" s="25" t="s">
        <v>29</v>
      </c>
      <c r="I78" s="25" t="s">
        <v>101</v>
      </c>
      <c r="J78" s="25" t="s">
        <v>62</v>
      </c>
      <c r="K78" s="25" t="s">
        <v>102</v>
      </c>
    </row>
    <row r="79" customFormat="false" ht="18" hidden="false" customHeight="true" outlineLevel="0" collapsed="false">
      <c r="B79" s="25" t="s">
        <v>29</v>
      </c>
      <c r="C79" s="25" t="s">
        <v>103</v>
      </c>
      <c r="D79" s="25" t="s">
        <v>104</v>
      </c>
      <c r="E79" s="25" t="s">
        <v>105</v>
      </c>
      <c r="F79" s="25" t="s">
        <v>106</v>
      </c>
      <c r="H79" s="30" t="s">
        <v>33</v>
      </c>
      <c r="I79" s="31" t="n">
        <f aca="false">COUNTIF('India Employee Database'!C:C,"Data Science")</f>
        <v>4</v>
      </c>
      <c r="J79" s="31" t="n">
        <f aca="false">COUNTIF('US Employee Database'!C:C,"Data Science")</f>
        <v>4</v>
      </c>
      <c r="K79" s="52" t="n">
        <f aca="false">I79+J79</f>
        <v>8</v>
      </c>
    </row>
    <row r="80" customFormat="false" ht="18" hidden="false" customHeight="true" outlineLevel="0" collapsed="false">
      <c r="B80" s="30" t="s">
        <v>33</v>
      </c>
      <c r="C80" s="53" t="n">
        <f aca="false">SUMIFS(Finance!E:E,Finance!C:C,"Data Science",Finance!D:D,"India")</f>
        <v>7268413</v>
      </c>
      <c r="D80" s="54" t="n">
        <f aca="false">SUMIFS(Finance!G:G,Finance!C:C,"Data Science",Finance!D:D,"US")</f>
        <v>67800</v>
      </c>
      <c r="E80" s="54" t="n">
        <f aca="false">IFERROR(C80/83+D80,0)</f>
        <v>155371.240963855</v>
      </c>
      <c r="F80" s="55" t="n">
        <f aca="false">IFERROR(E80/SUM($E$80:$E$89),0)</f>
        <v>0.0823457699981352</v>
      </c>
      <c r="H80" s="37" t="s">
        <v>35</v>
      </c>
      <c r="I80" s="38" t="n">
        <f aca="false">COUNTIF('India Employee Database'!C:C,"Design")</f>
        <v>8</v>
      </c>
      <c r="J80" s="38" t="n">
        <f aca="false">COUNTIF('US Employee Database'!C:C,"Design")</f>
        <v>3</v>
      </c>
      <c r="K80" s="56" t="n">
        <f aca="false">I80+J80</f>
        <v>11</v>
      </c>
    </row>
    <row r="81" customFormat="false" ht="18" hidden="false" customHeight="true" outlineLevel="0" collapsed="false">
      <c r="B81" s="37" t="s">
        <v>35</v>
      </c>
      <c r="C81" s="57" t="n">
        <f aca="false">SUMIFS(Finance!E:E,Finance!C:C,"Design",Finance!D:D,"India")</f>
        <v>13108905</v>
      </c>
      <c r="D81" s="58" t="n">
        <f aca="false">SUMIFS(Finance!G:G,Finance!C:C,"Design",Finance!D:D,"US")</f>
        <v>54557</v>
      </c>
      <c r="E81" s="58" t="n">
        <f aca="false">IFERROR(C81/83+D81,0)</f>
        <v>212495.614457831</v>
      </c>
      <c r="F81" s="59" t="n">
        <f aca="false">IFERROR(E81/SUM($E$80:$E$89),0)</f>
        <v>0.112621324803782</v>
      </c>
      <c r="H81" s="30" t="s">
        <v>37</v>
      </c>
      <c r="I81" s="31" t="n">
        <f aca="false">COUNTIF('India Employee Database'!C:C,"Engineering")</f>
        <v>9</v>
      </c>
      <c r="J81" s="31" t="n">
        <f aca="false">COUNTIF('US Employee Database'!C:C,"Engineering")</f>
        <v>3</v>
      </c>
      <c r="K81" s="52" t="n">
        <f aca="false">I81+J81</f>
        <v>12</v>
      </c>
    </row>
    <row r="82" customFormat="false" ht="18" hidden="false" customHeight="true" outlineLevel="0" collapsed="false">
      <c r="B82" s="30" t="s">
        <v>37</v>
      </c>
      <c r="C82" s="53" t="n">
        <f aca="false">SUMIFS(Finance!E:E,Finance!C:C,"Engineering",Finance!D:D,"India")</f>
        <v>12060496</v>
      </c>
      <c r="D82" s="54" t="n">
        <f aca="false">SUMIFS(Finance!G:G,Finance!C:C,"Engineering",Finance!D:D,"US")</f>
        <v>60630</v>
      </c>
      <c r="E82" s="54" t="n">
        <f aca="false">IFERROR(C82/83+D82,0)</f>
        <v>205937.180722892</v>
      </c>
      <c r="F82" s="55" t="n">
        <f aca="false">IFERROR(E82/SUM($E$80:$E$89),0)</f>
        <v>0.109145396616975</v>
      </c>
      <c r="H82" s="37" t="s">
        <v>39</v>
      </c>
      <c r="I82" s="38" t="n">
        <f aca="false">COUNTIF('India Employee Database'!C:C,"Finance")</f>
        <v>9</v>
      </c>
      <c r="J82" s="38" t="n">
        <f aca="false">COUNTIF('US Employee Database'!C:C,"Finance")</f>
        <v>6</v>
      </c>
      <c r="K82" s="56" t="n">
        <f aca="false">I82+J82</f>
        <v>15</v>
      </c>
    </row>
    <row r="83" customFormat="false" ht="18" hidden="false" customHeight="true" outlineLevel="0" collapsed="false">
      <c r="B83" s="37" t="s">
        <v>39</v>
      </c>
      <c r="C83" s="57" t="n">
        <f aca="false">SUMIFS(Finance!E:E,Finance!C:C,"Finance",Finance!D:D,"India")</f>
        <v>17361343</v>
      </c>
      <c r="D83" s="58" t="n">
        <f aca="false">SUMIFS(Finance!G:G,Finance!C:C,"Finance",Finance!D:D,"US")</f>
        <v>137357</v>
      </c>
      <c r="E83" s="58" t="n">
        <f aca="false">IFERROR(C83/83+D83,0)</f>
        <v>346529.807228916</v>
      </c>
      <c r="F83" s="59" t="n">
        <f aca="false">IFERROR(E83/SUM($E$80:$E$89),0)</f>
        <v>0.183658594901798</v>
      </c>
      <c r="H83" s="30" t="s">
        <v>41</v>
      </c>
      <c r="I83" s="31" t="n">
        <f aca="false">COUNTIF('India Employee Database'!C:C,"HR")</f>
        <v>9</v>
      </c>
      <c r="J83" s="31" t="n">
        <f aca="false">COUNTIF('US Employee Database'!C:C,"HR")</f>
        <v>2</v>
      </c>
      <c r="K83" s="52" t="n">
        <f aca="false">I83+J83</f>
        <v>11</v>
      </c>
    </row>
    <row r="84" customFormat="false" ht="18" hidden="false" customHeight="true" outlineLevel="0" collapsed="false">
      <c r="B84" s="30" t="s">
        <v>41</v>
      </c>
      <c r="C84" s="53" t="n">
        <f aca="false">SUMIFS(Finance!E:E,Finance!C:C,"HR",Finance!D:D,"India")</f>
        <v>11390119</v>
      </c>
      <c r="D84" s="54" t="n">
        <f aca="false">SUMIFS(Finance!G:G,Finance!C:C,"HR",Finance!D:D,"US")</f>
        <v>20462</v>
      </c>
      <c r="E84" s="54" t="n">
        <f aca="false">IFERROR(C84/83+D84,0)</f>
        <v>157692.34939759</v>
      </c>
      <c r="F84" s="55" t="n">
        <f aca="false">IFERROR(E84/SUM($E$80:$E$89),0)</f>
        <v>0.0835759427124635</v>
      </c>
      <c r="H84" s="37" t="s">
        <v>42</v>
      </c>
      <c r="I84" s="38" t="n">
        <f aca="false">COUNTIF('India Employee Database'!C:C,"Legal")</f>
        <v>6</v>
      </c>
      <c r="J84" s="38" t="n">
        <f aca="false">COUNTIF('US Employee Database'!C:C,"Legal")</f>
        <v>2</v>
      </c>
      <c r="K84" s="56" t="n">
        <f aca="false">I84+J84</f>
        <v>8</v>
      </c>
    </row>
    <row r="85" customFormat="false" ht="18" hidden="false" customHeight="true" outlineLevel="0" collapsed="false">
      <c r="B85" s="37" t="s">
        <v>42</v>
      </c>
      <c r="C85" s="57" t="n">
        <f aca="false">SUMIFS(Finance!E:E,Finance!C:C,"Legal",Finance!D:D,"India")</f>
        <v>9806040</v>
      </c>
      <c r="D85" s="58" t="n">
        <f aca="false">SUMIFS(Finance!G:G,Finance!C:C,"Legal",Finance!D:D,"US")</f>
        <v>56041</v>
      </c>
      <c r="E85" s="58" t="n">
        <f aca="false">IFERROR(C85/83+D85,0)</f>
        <v>174186.060240964</v>
      </c>
      <c r="F85" s="59" t="n">
        <f aca="false">IFERROR(E85/SUM($E$80:$E$89),0)</f>
        <v>0.0923175046070496</v>
      </c>
      <c r="H85" s="30" t="s">
        <v>43</v>
      </c>
      <c r="I85" s="31" t="n">
        <f aca="false">COUNTIF('India Employee Database'!C:C,"Marketing")</f>
        <v>6</v>
      </c>
      <c r="J85" s="31" t="n">
        <f aca="false">COUNTIF('US Employee Database'!C:C,"Marketing")</f>
        <v>2</v>
      </c>
      <c r="K85" s="52" t="n">
        <f aca="false">I85+J85</f>
        <v>8</v>
      </c>
    </row>
    <row r="86" customFormat="false" ht="18" hidden="false" customHeight="true" outlineLevel="0" collapsed="false">
      <c r="B86" s="30" t="s">
        <v>43</v>
      </c>
      <c r="C86" s="53" t="n">
        <f aca="false">SUMIFS(Finance!E:E,Finance!C:C,"Marketing",Finance!D:D,"India")</f>
        <v>7447960</v>
      </c>
      <c r="D86" s="54" t="n">
        <f aca="false">SUMIFS(Finance!G:G,Finance!C:C,"Marketing",Finance!D:D,"US")</f>
        <v>41128</v>
      </c>
      <c r="E86" s="54" t="n">
        <f aca="false">IFERROR(C86/83+D86,0)</f>
        <v>130862.457831325</v>
      </c>
      <c r="F86" s="55" t="n">
        <f aca="false">IFERROR(E86/SUM($E$80:$E$89),0)</f>
        <v>0.0693562707430253</v>
      </c>
      <c r="H86" s="37" t="s">
        <v>44</v>
      </c>
      <c r="I86" s="38" t="n">
        <f aca="false">COUNTIF('India Employee Database'!C:C,"Operations")</f>
        <v>3</v>
      </c>
      <c r="J86" s="38" t="n">
        <f aca="false">COUNTIF('US Employee Database'!C:C,"Operations")</f>
        <v>4</v>
      </c>
      <c r="K86" s="56" t="n">
        <f aca="false">I86+J86</f>
        <v>7</v>
      </c>
    </row>
    <row r="87" customFormat="false" ht="18" hidden="false" customHeight="true" outlineLevel="0" collapsed="false">
      <c r="B87" s="37" t="s">
        <v>44</v>
      </c>
      <c r="C87" s="57" t="n">
        <f aca="false">SUMIFS(Finance!E:E,Finance!C:C,"Operations",Finance!D:D,"India")</f>
        <v>5582251</v>
      </c>
      <c r="D87" s="58" t="n">
        <f aca="false">SUMIFS(Finance!G:G,Finance!C:C,"Operations",Finance!D:D,"US")</f>
        <v>78272</v>
      </c>
      <c r="E87" s="58" t="n">
        <f aca="false">IFERROR(C87/83+D87,0)</f>
        <v>145528.036144578</v>
      </c>
      <c r="F87" s="59" t="n">
        <f aca="false">IFERROR(E87/SUM($E$80:$E$89),0)</f>
        <v>0.0771289340182946</v>
      </c>
      <c r="H87" s="30" t="s">
        <v>45</v>
      </c>
      <c r="I87" s="31" t="n">
        <f aca="false">COUNTIF('India Employee Database'!C:C,"Product")</f>
        <v>9</v>
      </c>
      <c r="J87" s="31" t="n">
        <f aca="false">COUNTIF('US Employee Database'!C:C,"Product")</f>
        <v>3</v>
      </c>
      <c r="K87" s="52" t="n">
        <f aca="false">I87+J87</f>
        <v>12</v>
      </c>
    </row>
    <row r="88" customFormat="false" ht="18" hidden="false" customHeight="true" outlineLevel="0" collapsed="false">
      <c r="B88" s="30" t="s">
        <v>45</v>
      </c>
      <c r="C88" s="53" t="n">
        <f aca="false">SUMIFS(Finance!E:E,Finance!C:C,"Product",Finance!D:D,"India")</f>
        <v>14517437</v>
      </c>
      <c r="D88" s="54" t="n">
        <f aca="false">SUMIFS(Finance!G:G,Finance!C:C,"Product",Finance!D:D,"US")</f>
        <v>53461</v>
      </c>
      <c r="E88" s="54" t="n">
        <f aca="false">IFERROR(C88/83+D88,0)</f>
        <v>228369.879518072</v>
      </c>
      <c r="F88" s="55" t="n">
        <f aca="false">IFERROR(E88/SUM($E$80:$E$89),0)</f>
        <v>0.121034584371195</v>
      </c>
      <c r="H88" s="37" t="s">
        <v>46</v>
      </c>
      <c r="I88" s="38" t="n">
        <f aca="false">COUNTIF('India Employee Database'!C:C,"Sales")</f>
        <v>7</v>
      </c>
      <c r="J88" s="38" t="n">
        <f aca="false">COUNTIF('US Employee Database'!C:C,"Sales")</f>
        <v>1</v>
      </c>
      <c r="K88" s="56" t="n">
        <f aca="false">I88+J88</f>
        <v>8</v>
      </c>
    </row>
    <row r="89" customFormat="false" ht="18" hidden="false" customHeight="true" outlineLevel="0" collapsed="false">
      <c r="B89" s="37" t="s">
        <v>46</v>
      </c>
      <c r="C89" s="57" t="n">
        <f aca="false">SUMIFS(Finance!E:E,Finance!C:C,"Sales",Finance!D:D,"India")</f>
        <v>8563729</v>
      </c>
      <c r="D89" s="58" t="n">
        <f aca="false">SUMIFS(Finance!G:G,Finance!C:C,"Sales",Finance!D:D,"US")</f>
        <v>26665</v>
      </c>
      <c r="E89" s="58" t="n">
        <f aca="false">IFERROR(C89/83+D89,0)</f>
        <v>129842.457831325</v>
      </c>
      <c r="F89" s="59" t="n">
        <f aca="false">IFERROR(E89/SUM($E$80:$E$89),0)</f>
        <v>0.0688156772272817</v>
      </c>
    </row>
    <row r="90" customFormat="false" ht="19.5" hidden="false" customHeight="true" outlineLevel="0" collapsed="false">
      <c r="B90" s="25" t="s">
        <v>102</v>
      </c>
      <c r="C90" s="60" t="n">
        <f aca="false">SUM(C80:C89)</f>
        <v>107106693</v>
      </c>
      <c r="D90" s="61" t="n">
        <f aca="false">SUM(D80:D89)</f>
        <v>596373</v>
      </c>
      <c r="E90" s="61" t="n">
        <f aca="false">SUM(E80:E89)</f>
        <v>1886815.08433735</v>
      </c>
      <c r="F90" s="25" t="s">
        <v>107</v>
      </c>
    </row>
    <row r="91" customFormat="false" ht="9.75" hidden="false" customHeight="true" outlineLevel="0" collapsed="false"/>
    <row r="92" customFormat="false" ht="21.75" hidden="false" customHeight="true" outlineLevel="0" collapsed="false">
      <c r="B92" s="3" t="s">
        <v>108</v>
      </c>
      <c r="C92" s="3"/>
      <c r="D92" s="3"/>
      <c r="E92" s="3"/>
      <c r="F92" s="3"/>
      <c r="G92" s="3"/>
      <c r="H92" s="3"/>
      <c r="I92" s="3"/>
      <c r="J92" s="3"/>
      <c r="K92" s="3"/>
    </row>
    <row r="93" customFormat="false" ht="24" hidden="false" customHeight="true" outlineLevel="0" collapsed="false">
      <c r="B93" s="4" t="s">
        <v>109</v>
      </c>
      <c r="C93" s="4"/>
      <c r="D93" s="5" t="s">
        <v>110</v>
      </c>
      <c r="E93" s="5"/>
      <c r="F93" s="6" t="s">
        <v>111</v>
      </c>
      <c r="G93" s="6"/>
      <c r="H93" s="19" t="s">
        <v>112</v>
      </c>
      <c r="I93" s="19"/>
      <c r="J93" s="62" t="s">
        <v>113</v>
      </c>
      <c r="K93" s="62"/>
    </row>
    <row r="94" customFormat="false" ht="33.75" hidden="false" customHeight="true" outlineLevel="0" collapsed="false">
      <c r="B94" s="63" t="n">
        <f aca="false">ROUND(AVERAGE(Productivity!O:O),2)</f>
        <v>8.34</v>
      </c>
      <c r="C94" s="63"/>
      <c r="D94" s="64" t="n">
        <f aca="false">ROUND(AVERAGEIF(Productivity!D:D,"India",Productivity!O:O),2)</f>
        <v>8.41</v>
      </c>
      <c r="E94" s="64"/>
      <c r="F94" s="65" t="n">
        <f aca="false">ROUND(AVERAGEIF(Productivity!D:D,"US",Productivity!O:O),2)</f>
        <v>8.17</v>
      </c>
      <c r="G94" s="65"/>
      <c r="H94" s="66" t="n">
        <f aca="false">COUNTIF(Productivity!P:P,"⚠ Below 8 Hrs")</f>
        <v>0</v>
      </c>
      <c r="I94" s="66"/>
      <c r="J94" s="67" t="n">
        <f aca="false">COUNTIF(Productivity!O:O,"&gt;9")</f>
        <v>28</v>
      </c>
      <c r="K94" s="67"/>
    </row>
    <row r="95" customFormat="false" ht="24" hidden="false" customHeight="true" outlineLevel="0" collapsed="false">
      <c r="B95" s="14" t="s">
        <v>114</v>
      </c>
      <c r="C95" s="14"/>
      <c r="D95" s="15" t="s">
        <v>114</v>
      </c>
      <c r="E95" s="15"/>
      <c r="F95" s="16" t="s">
        <v>114</v>
      </c>
      <c r="G95" s="16"/>
      <c r="H95" s="23" t="s">
        <v>114</v>
      </c>
      <c r="I95" s="23"/>
      <c r="J95" s="68" t="s">
        <v>114</v>
      </c>
      <c r="K95" s="68"/>
    </row>
    <row r="97" customFormat="false" ht="19.5" hidden="false" customHeight="true" outlineLevel="0" collapsed="false">
      <c r="B97" s="25" t="s">
        <v>29</v>
      </c>
      <c r="C97" s="25" t="s">
        <v>115</v>
      </c>
      <c r="D97" s="25" t="s">
        <v>116</v>
      </c>
      <c r="E97" s="25" t="s">
        <v>117</v>
      </c>
      <c r="F97" s="25" t="s">
        <v>118</v>
      </c>
      <c r="G97" s="25" t="s">
        <v>119</v>
      </c>
    </row>
    <row r="98" customFormat="false" ht="18" hidden="false" customHeight="true" outlineLevel="0" collapsed="false">
      <c r="B98" s="30" t="s">
        <v>33</v>
      </c>
      <c r="C98" s="69" t="n">
        <f aca="false">IFERROR(AVERAGEIFS(Productivity!O:O,Productivity!C:C,"Data Science",Productivity!D:D,"India"),"-")</f>
        <v>7.575</v>
      </c>
      <c r="D98" s="69" t="n">
        <f aca="false">IFERROR(AVERAGEIFS(Productivity!O:O,Productivity!C:C,"Data Science",Productivity!D:D,"US"),"-")</f>
        <v>8.075</v>
      </c>
      <c r="E98" s="70" t="n">
        <f aca="false">IFERROR(AVERAGEIF(Productivity!C:C,"Data Science",Productivity!O:O),0)</f>
        <v>7.825</v>
      </c>
      <c r="F98" s="28" t="n">
        <f aca="false">COUNTIFS(Productivity!C:C,"Data Science",Productivity!P:P,"⚠ Below 8 Hrs")</f>
        <v>0</v>
      </c>
      <c r="G98" s="29" t="str">
        <f aca="false">IF(F98&gt;2,"⚠ CHECK","✅ OK")</f>
        <v>✅ OK</v>
      </c>
    </row>
    <row r="99" customFormat="false" ht="18" hidden="false" customHeight="true" outlineLevel="0" collapsed="false">
      <c r="B99" s="37" t="s">
        <v>35</v>
      </c>
      <c r="C99" s="71" t="n">
        <f aca="false">IFERROR(AVERAGEIFS(Productivity!O:O,Productivity!C:C,"Design",Productivity!D:D,"India"),"-")</f>
        <v>8.725</v>
      </c>
      <c r="D99" s="71" t="n">
        <f aca="false">IFERROR(AVERAGEIFS(Productivity!O:O,Productivity!C:C,"Design",Productivity!D:D,"US"),"-")</f>
        <v>9</v>
      </c>
      <c r="E99" s="72" t="n">
        <f aca="false">IFERROR(AVERAGEIF(Productivity!C:C,"Design",Productivity!O:O),0)</f>
        <v>8.8</v>
      </c>
      <c r="F99" s="35" t="n">
        <f aca="false">COUNTIFS(Productivity!C:C,"Design",Productivity!P:P,"⚠ Below 8 Hrs")</f>
        <v>0</v>
      </c>
      <c r="G99" s="36" t="str">
        <f aca="false">IF(F99&gt;2,"⚠ CHECK","✅ OK")</f>
        <v>✅ OK</v>
      </c>
    </row>
    <row r="100" customFormat="false" ht="18" hidden="false" customHeight="true" outlineLevel="0" collapsed="false">
      <c r="B100" s="30" t="s">
        <v>37</v>
      </c>
      <c r="C100" s="69" t="n">
        <f aca="false">IFERROR(AVERAGEIFS(Productivity!O:O,Productivity!C:C,"Engineering",Productivity!D:D,"India"),"-")</f>
        <v>8.44444444444445</v>
      </c>
      <c r="D100" s="69" t="n">
        <f aca="false">IFERROR(AVERAGEIFS(Productivity!O:O,Productivity!C:C,"Engineering",Productivity!D:D,"US"),"-")</f>
        <v>7.73333333333333</v>
      </c>
      <c r="E100" s="70" t="n">
        <f aca="false">IFERROR(AVERAGEIF(Productivity!C:C,"Engineering",Productivity!O:O),0)</f>
        <v>8.26666666666667</v>
      </c>
      <c r="F100" s="28" t="n">
        <f aca="false">COUNTIFS(Productivity!C:C,"Engineering",Productivity!P:P,"⚠ Below 8 Hrs")</f>
        <v>0</v>
      </c>
      <c r="G100" s="29" t="str">
        <f aca="false">IF(F100&gt;2,"⚠ CHECK","✅ OK")</f>
        <v>✅ OK</v>
      </c>
    </row>
    <row r="101" customFormat="false" ht="18" hidden="false" customHeight="true" outlineLevel="0" collapsed="false">
      <c r="B101" s="37" t="s">
        <v>39</v>
      </c>
      <c r="C101" s="71" t="n">
        <f aca="false">IFERROR(AVERAGEIFS(Productivity!O:O,Productivity!C:C,"Finance",Productivity!D:D,"India"),"-")</f>
        <v>8.76666666666667</v>
      </c>
      <c r="D101" s="71" t="n">
        <f aca="false">IFERROR(AVERAGEIFS(Productivity!O:O,Productivity!C:C,"Finance",Productivity!D:D,"US"),"-")</f>
        <v>8</v>
      </c>
      <c r="E101" s="72" t="n">
        <f aca="false">IFERROR(AVERAGEIF(Productivity!C:C,"Finance",Productivity!O:O),0)</f>
        <v>8.46</v>
      </c>
      <c r="F101" s="35" t="n">
        <f aca="false">COUNTIFS(Productivity!C:C,"Finance",Productivity!P:P,"⚠ Below 8 Hrs")</f>
        <v>0</v>
      </c>
      <c r="G101" s="36" t="str">
        <f aca="false">IF(F101&gt;2,"⚠ CHECK","✅ OK")</f>
        <v>✅ OK</v>
      </c>
    </row>
    <row r="102" customFormat="false" ht="18" hidden="false" customHeight="true" outlineLevel="0" collapsed="false">
      <c r="B102" s="30" t="s">
        <v>41</v>
      </c>
      <c r="C102" s="69" t="n">
        <f aca="false">IFERROR(AVERAGEIFS(Productivity!O:O,Productivity!C:C,"HR",Productivity!D:D,"India"),"-")</f>
        <v>8.25555555555556</v>
      </c>
      <c r="D102" s="69" t="n">
        <f aca="false">IFERROR(AVERAGEIFS(Productivity!O:O,Productivity!C:C,"HR",Productivity!D:D,"US"),"-")</f>
        <v>8.85</v>
      </c>
      <c r="E102" s="70" t="n">
        <f aca="false">IFERROR(AVERAGEIF(Productivity!C:C,"HR",Productivity!O:O),0)</f>
        <v>8.36363636363636</v>
      </c>
      <c r="F102" s="28" t="n">
        <f aca="false">COUNTIFS(Productivity!C:C,"HR",Productivity!P:P,"⚠ Below 8 Hrs")</f>
        <v>0</v>
      </c>
      <c r="G102" s="29" t="str">
        <f aca="false">IF(F102&gt;2,"⚠ CHECK","✅ OK")</f>
        <v>✅ OK</v>
      </c>
    </row>
    <row r="103" customFormat="false" ht="18" hidden="false" customHeight="true" outlineLevel="0" collapsed="false">
      <c r="B103" s="37" t="s">
        <v>42</v>
      </c>
      <c r="C103" s="71" t="n">
        <f aca="false">IFERROR(AVERAGEIFS(Productivity!O:O,Productivity!C:C,"Legal",Productivity!D:D,"India"),"-")</f>
        <v>8.26666666666667</v>
      </c>
      <c r="D103" s="71" t="n">
        <f aca="false">IFERROR(AVERAGEIFS(Productivity!O:O,Productivity!C:C,"Legal",Productivity!D:D,"US"),"-")</f>
        <v>8.65</v>
      </c>
      <c r="E103" s="72" t="n">
        <f aca="false">IFERROR(AVERAGEIF(Productivity!C:C,"Legal",Productivity!O:O),0)</f>
        <v>8.3625</v>
      </c>
      <c r="F103" s="35" t="n">
        <f aca="false">COUNTIFS(Productivity!C:C,"Legal",Productivity!P:P,"⚠ Below 8 Hrs")</f>
        <v>0</v>
      </c>
      <c r="G103" s="36" t="str">
        <f aca="false">IF(F103&gt;2,"⚠ CHECK","✅ OK")</f>
        <v>✅ OK</v>
      </c>
    </row>
    <row r="104" customFormat="false" ht="18" hidden="false" customHeight="true" outlineLevel="0" collapsed="false">
      <c r="B104" s="30" t="s">
        <v>43</v>
      </c>
      <c r="C104" s="69" t="n">
        <f aca="false">IFERROR(AVERAGEIFS(Productivity!O:O,Productivity!C:C,"Marketing",Productivity!D:D,"India"),"-")</f>
        <v>8.71666666666667</v>
      </c>
      <c r="D104" s="69" t="n">
        <f aca="false">IFERROR(AVERAGEIFS(Productivity!O:O,Productivity!C:C,"Marketing",Productivity!D:D,"US"),"-")</f>
        <v>7.9</v>
      </c>
      <c r="E104" s="70" t="n">
        <f aca="false">IFERROR(AVERAGEIF(Productivity!C:C,"Marketing",Productivity!O:O),0)</f>
        <v>8.5125</v>
      </c>
      <c r="F104" s="28" t="n">
        <f aca="false">COUNTIFS(Productivity!C:C,"Marketing",Productivity!P:P,"⚠ Below 8 Hrs")</f>
        <v>0</v>
      </c>
      <c r="G104" s="29" t="str">
        <f aca="false">IF(F104&gt;2,"⚠ CHECK","✅ OK")</f>
        <v>✅ OK</v>
      </c>
    </row>
    <row r="105" customFormat="false" ht="18" hidden="false" customHeight="true" outlineLevel="0" collapsed="false">
      <c r="B105" s="37" t="s">
        <v>44</v>
      </c>
      <c r="C105" s="71" t="n">
        <f aca="false">IFERROR(AVERAGEIFS(Productivity!O:O,Productivity!C:C,"Operations",Productivity!D:D,"India"),"-")</f>
        <v>9.23333333333333</v>
      </c>
      <c r="D105" s="71" t="n">
        <f aca="false">IFERROR(AVERAGEIFS(Productivity!O:O,Productivity!C:C,"Operations",Productivity!D:D,"US"),"-")</f>
        <v>7.65</v>
      </c>
      <c r="E105" s="72" t="n">
        <f aca="false">IFERROR(AVERAGEIF(Productivity!C:C,"Operations",Productivity!O:O),0)</f>
        <v>8.32857142857143</v>
      </c>
      <c r="F105" s="35" t="n">
        <f aca="false">COUNTIFS(Productivity!C:C,"Operations",Productivity!P:P,"⚠ Below 8 Hrs")</f>
        <v>0</v>
      </c>
      <c r="G105" s="36" t="str">
        <f aca="false">IF(F105&gt;2,"⚠ CHECK","✅ OK")</f>
        <v>✅ OK</v>
      </c>
    </row>
    <row r="106" customFormat="false" ht="18" hidden="false" customHeight="true" outlineLevel="0" collapsed="false">
      <c r="B106" s="30" t="s">
        <v>45</v>
      </c>
      <c r="C106" s="69" t="n">
        <f aca="false">IFERROR(AVERAGEIFS(Productivity!O:O,Productivity!C:C,"Product",Productivity!D:D,"India"),"-")</f>
        <v>8.02222222222222</v>
      </c>
      <c r="D106" s="69" t="n">
        <f aca="false">IFERROR(AVERAGEIFS(Productivity!O:O,Productivity!C:C,"Product",Productivity!D:D,"US"),"-")</f>
        <v>8.2</v>
      </c>
      <c r="E106" s="70" t="n">
        <f aca="false">IFERROR(AVERAGEIF(Productivity!C:C,"Product",Productivity!O:O),0)</f>
        <v>8.06666666666667</v>
      </c>
      <c r="F106" s="28" t="n">
        <f aca="false">COUNTIFS(Productivity!C:C,"Product",Productivity!P:P,"⚠ Below 8 Hrs")</f>
        <v>0</v>
      </c>
      <c r="G106" s="29" t="str">
        <f aca="false">IF(F106&gt;2,"⚠ CHECK","✅ OK")</f>
        <v>✅ OK</v>
      </c>
    </row>
    <row r="107" customFormat="false" ht="18" hidden="false" customHeight="true" outlineLevel="0" collapsed="false">
      <c r="B107" s="37" t="s">
        <v>46</v>
      </c>
      <c r="C107" s="71" t="n">
        <f aca="false">IFERROR(AVERAGEIFS(Productivity!O:O,Productivity!C:C,"Sales",Productivity!D:D,"India"),"-")</f>
        <v>8.22857142857143</v>
      </c>
      <c r="D107" s="71" t="n">
        <f aca="false">IFERROR(AVERAGEIFS(Productivity!O:O,Productivity!C:C,"Sales",Productivity!D:D,"US"),"-")</f>
        <v>8.6</v>
      </c>
      <c r="E107" s="72" t="n">
        <f aca="false">IFERROR(AVERAGEIF(Productivity!C:C,"Sales",Productivity!O:O),0)</f>
        <v>8.275</v>
      </c>
      <c r="F107" s="35" t="n">
        <f aca="false">COUNTIFS(Productivity!C:C,"Sales",Productivity!P:P,"⚠ Below 8 Hrs")</f>
        <v>0</v>
      </c>
      <c r="G107" s="36" t="str">
        <f aca="false">IF(F107&gt;2,"⚠ CHECK","✅ OK")</f>
        <v>✅ OK</v>
      </c>
    </row>
    <row r="110" customFormat="false" ht="18" hidden="false" customHeight="true" outlineLevel="0" collapsed="false">
      <c r="B110" s="73" t="s">
        <v>120</v>
      </c>
      <c r="C110" s="73"/>
      <c r="D110" s="73"/>
      <c r="E110" s="73"/>
      <c r="F110" s="73"/>
      <c r="G110" s="73"/>
      <c r="H110" s="73"/>
      <c r="I110" s="73"/>
      <c r="J110" s="73"/>
      <c r="K110" s="73"/>
    </row>
  </sheetData>
  <mergeCells count="70">
    <mergeCell ref="A2:K2"/>
    <mergeCell ref="A3:K3"/>
    <mergeCell ref="B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11:C11"/>
    <mergeCell ref="D11:E11"/>
    <mergeCell ref="F11:G11"/>
    <mergeCell ref="H11:I11"/>
    <mergeCell ref="J11:K11"/>
    <mergeCell ref="B14:K14"/>
    <mergeCell ref="B33:K33"/>
    <mergeCell ref="B44:K44"/>
    <mergeCell ref="B55:K55"/>
    <mergeCell ref="B74:K74"/>
    <mergeCell ref="B75:C75"/>
    <mergeCell ref="D75:E75"/>
    <mergeCell ref="F75:G75"/>
    <mergeCell ref="H75:I75"/>
    <mergeCell ref="J75:K75"/>
    <mergeCell ref="B76:C76"/>
    <mergeCell ref="D76:E76"/>
    <mergeCell ref="F76:G76"/>
    <mergeCell ref="H76:I76"/>
    <mergeCell ref="J76:K76"/>
    <mergeCell ref="B77:C77"/>
    <mergeCell ref="D77:E77"/>
    <mergeCell ref="F77:G77"/>
    <mergeCell ref="H77:I77"/>
    <mergeCell ref="J77:K77"/>
    <mergeCell ref="B92:K92"/>
    <mergeCell ref="B93:C93"/>
    <mergeCell ref="D93:E93"/>
    <mergeCell ref="F93:G93"/>
    <mergeCell ref="H93:I93"/>
    <mergeCell ref="J93:K93"/>
    <mergeCell ref="B94:C94"/>
    <mergeCell ref="D94:E94"/>
    <mergeCell ref="F94:G94"/>
    <mergeCell ref="H94:I94"/>
    <mergeCell ref="J94:K94"/>
    <mergeCell ref="B95:C95"/>
    <mergeCell ref="D95:E95"/>
    <mergeCell ref="F95:G95"/>
    <mergeCell ref="H95:I95"/>
    <mergeCell ref="J95:K95"/>
    <mergeCell ref="B110:K110"/>
  </mergeCells>
  <conditionalFormatting sqref="H46:H52">
    <cfRule type="cellIs" priority="2" operator="lessThan" aboveAverage="0" equalAverage="0" bottom="0" percent="0" rank="0" text="" dxfId="0">
      <formula>15</formula>
    </cfRule>
    <cfRule type="cellIs" priority="3" operator="between" aboveAverage="0" equalAverage="0" bottom="0" percent="0" rank="0" text="" dxfId="1">
      <formula>15</formula>
      <formula>29</formula>
    </cfRule>
    <cfRule type="cellIs" priority="4" operator="between" aboveAverage="0" equalAverage="0" bottom="0" percent="0" rank="0" text="" dxfId="2">
      <formula>30</formula>
      <formula>44</formula>
    </cfRule>
  </conditionalFormatting>
  <conditionalFormatting sqref="G57:G71">
    <cfRule type="expression" priority="5" aboveAverage="0" equalAverage="0" bottom="0" percent="0" rank="0" text="" dxfId="0">
      <formula>G57="High"</formula>
    </cfRule>
    <cfRule type="expression" priority="6" aboveAverage="0" equalAverage="0" bottom="0" percent="0" rank="0" text="" dxfId="1">
      <formula>G57="Medium"</formula>
    </cfRule>
    <cfRule type="expression" priority="7" aboveAverage="0" equalAverage="0" bottom="0" percent="0" rank="0" text="" dxfId="3">
      <formula>G57="Low"</formula>
    </cfRule>
  </conditionalFormatting>
  <conditionalFormatting sqref="E98:E107">
    <cfRule type="colorScale" priority="8">
      <colorScale>
        <cfvo type="min" val="0"/>
        <cfvo type="percentile" val="50"/>
        <cfvo type="max" val="0"/>
        <color rgb="FFF1948A"/>
        <color rgb="FFF9E79F"/>
        <color rgb="FF82E0AA"/>
      </colorScale>
    </cfRule>
  </conditionalFormatting>
  <printOptions headings="false" gridLines="false" gridLinesSet="true" horizontalCentered="false" verticalCentered="false"/>
  <pageMargins left="0.25" right="0.2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I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26"/>
    <col collapsed="false" customWidth="true" hidden="false" outlineLevel="0" max="6" min="6" style="0" width="32"/>
    <col collapsed="false" customWidth="true" hidden="false" outlineLevel="0" max="7" min="7" style="0" width="21"/>
    <col collapsed="false" customWidth="true" hidden="false" outlineLevel="0" max="8" min="8" style="0" width="19"/>
    <col collapsed="false" customWidth="true" hidden="false" outlineLevel="0" max="9" min="9" style="0" width="32"/>
    <col collapsed="false" customWidth="true" hidden="false" outlineLevel="0" max="26" min="10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124</v>
      </c>
      <c r="E1" s="74" t="s">
        <v>125</v>
      </c>
      <c r="F1" s="74" t="s">
        <v>126</v>
      </c>
      <c r="G1" s="74" t="s">
        <v>127</v>
      </c>
      <c r="H1" s="74" t="s">
        <v>128</v>
      </c>
      <c r="I1" s="74" t="s">
        <v>129</v>
      </c>
    </row>
    <row r="2" customFormat="false" ht="15" hidden="false" customHeight="false" outlineLevel="0" collapsed="false">
      <c r="A2" s="75" t="s">
        <v>91</v>
      </c>
      <c r="B2" s="75" t="s">
        <v>130</v>
      </c>
      <c r="C2" s="75" t="s">
        <v>41</v>
      </c>
      <c r="D2" s="75" t="s">
        <v>131</v>
      </c>
      <c r="E2" s="75" t="s">
        <v>132</v>
      </c>
      <c r="F2" s="75" t="s">
        <v>133</v>
      </c>
      <c r="G2" s="76" t="n">
        <v>45002</v>
      </c>
      <c r="H2" s="75" t="s">
        <v>134</v>
      </c>
      <c r="I2" s="75" t="s">
        <v>135</v>
      </c>
    </row>
    <row r="3" customFormat="false" ht="15" hidden="false" customHeight="false" outlineLevel="0" collapsed="false">
      <c r="A3" s="77" t="s">
        <v>136</v>
      </c>
      <c r="B3" s="77" t="s">
        <v>137</v>
      </c>
      <c r="C3" s="77" t="s">
        <v>39</v>
      </c>
      <c r="D3" s="77" t="s">
        <v>138</v>
      </c>
      <c r="E3" s="77" t="s">
        <v>139</v>
      </c>
      <c r="F3" s="77" t="s">
        <v>140</v>
      </c>
      <c r="G3" s="78" t="n">
        <v>45792</v>
      </c>
      <c r="H3" s="77" t="s">
        <v>134</v>
      </c>
      <c r="I3" s="77" t="s">
        <v>135</v>
      </c>
    </row>
    <row r="4" customFormat="false" ht="15" hidden="false" customHeight="false" outlineLevel="0" collapsed="false">
      <c r="A4" s="75" t="s">
        <v>141</v>
      </c>
      <c r="B4" s="75" t="s">
        <v>142</v>
      </c>
      <c r="C4" s="75" t="s">
        <v>41</v>
      </c>
      <c r="D4" s="75" t="s">
        <v>143</v>
      </c>
      <c r="E4" s="75" t="s">
        <v>132</v>
      </c>
      <c r="F4" s="75" t="s">
        <v>133</v>
      </c>
      <c r="G4" s="76" t="n">
        <v>45909</v>
      </c>
      <c r="H4" s="75" t="s">
        <v>134</v>
      </c>
      <c r="I4" s="75" t="s">
        <v>135</v>
      </c>
    </row>
    <row r="5" customFormat="false" ht="15" hidden="false" customHeight="false" outlineLevel="0" collapsed="false">
      <c r="A5" s="77" t="s">
        <v>144</v>
      </c>
      <c r="B5" s="77" t="s">
        <v>145</v>
      </c>
      <c r="C5" s="77" t="s">
        <v>46</v>
      </c>
      <c r="D5" s="77" t="s">
        <v>146</v>
      </c>
      <c r="E5" s="77" t="s">
        <v>147</v>
      </c>
      <c r="F5" s="77" t="s">
        <v>148</v>
      </c>
      <c r="G5" s="78" t="n">
        <v>45178</v>
      </c>
      <c r="H5" s="77" t="s">
        <v>134</v>
      </c>
      <c r="I5" s="77" t="s">
        <v>135</v>
      </c>
    </row>
    <row r="6" customFormat="false" ht="15" hidden="false" customHeight="false" outlineLevel="0" collapsed="false">
      <c r="A6" s="75" t="s">
        <v>149</v>
      </c>
      <c r="B6" s="75" t="s">
        <v>150</v>
      </c>
      <c r="C6" s="75" t="s">
        <v>45</v>
      </c>
      <c r="D6" s="75" t="s">
        <v>151</v>
      </c>
      <c r="E6" s="75" t="s">
        <v>152</v>
      </c>
      <c r="F6" s="75" t="s">
        <v>153</v>
      </c>
      <c r="G6" s="76" t="n">
        <v>44852</v>
      </c>
      <c r="H6" s="75" t="s">
        <v>134</v>
      </c>
      <c r="I6" s="75" t="s">
        <v>135</v>
      </c>
    </row>
    <row r="7" customFormat="false" ht="15" hidden="false" customHeight="false" outlineLevel="0" collapsed="false">
      <c r="A7" s="77" t="s">
        <v>154</v>
      </c>
      <c r="B7" s="77" t="s">
        <v>155</v>
      </c>
      <c r="C7" s="77" t="s">
        <v>37</v>
      </c>
      <c r="D7" s="77" t="s">
        <v>156</v>
      </c>
      <c r="E7" s="77" t="s">
        <v>157</v>
      </c>
      <c r="F7" s="77" t="s">
        <v>158</v>
      </c>
      <c r="G7" s="78" t="n">
        <v>45955</v>
      </c>
      <c r="H7" s="77" t="s">
        <v>134</v>
      </c>
      <c r="I7" s="77" t="s">
        <v>135</v>
      </c>
    </row>
    <row r="8" customFormat="false" ht="15" hidden="false" customHeight="false" outlineLevel="0" collapsed="false">
      <c r="A8" s="75" t="s">
        <v>159</v>
      </c>
      <c r="B8" s="75" t="s">
        <v>160</v>
      </c>
      <c r="C8" s="75" t="s">
        <v>44</v>
      </c>
      <c r="D8" s="75" t="s">
        <v>161</v>
      </c>
      <c r="E8" s="75" t="s">
        <v>162</v>
      </c>
      <c r="F8" s="75" t="s">
        <v>163</v>
      </c>
      <c r="G8" s="76" t="n">
        <v>45785</v>
      </c>
      <c r="H8" s="75" t="s">
        <v>134</v>
      </c>
      <c r="I8" s="75" t="s">
        <v>135</v>
      </c>
    </row>
    <row r="9" customFormat="false" ht="15" hidden="false" customHeight="false" outlineLevel="0" collapsed="false">
      <c r="A9" s="77" t="s">
        <v>164</v>
      </c>
      <c r="B9" s="77" t="s">
        <v>165</v>
      </c>
      <c r="C9" s="77" t="s">
        <v>45</v>
      </c>
      <c r="D9" s="77" t="s">
        <v>166</v>
      </c>
      <c r="E9" s="77" t="s">
        <v>152</v>
      </c>
      <c r="F9" s="77" t="s">
        <v>153</v>
      </c>
      <c r="G9" s="78" t="n">
        <v>45025</v>
      </c>
      <c r="H9" s="77" t="s">
        <v>134</v>
      </c>
      <c r="I9" s="77" t="s">
        <v>135</v>
      </c>
    </row>
    <row r="10" customFormat="false" ht="15" hidden="false" customHeight="false" outlineLevel="0" collapsed="false">
      <c r="A10" s="75" t="s">
        <v>167</v>
      </c>
      <c r="B10" s="75" t="s">
        <v>168</v>
      </c>
      <c r="C10" s="75" t="s">
        <v>39</v>
      </c>
      <c r="D10" s="75" t="s">
        <v>169</v>
      </c>
      <c r="E10" s="75" t="s">
        <v>139</v>
      </c>
      <c r="F10" s="75" t="s">
        <v>140</v>
      </c>
      <c r="G10" s="76" t="n">
        <v>44709</v>
      </c>
      <c r="H10" s="75" t="s">
        <v>134</v>
      </c>
      <c r="I10" s="75" t="s">
        <v>135</v>
      </c>
    </row>
    <row r="11" customFormat="false" ht="15" hidden="false" customHeight="false" outlineLevel="0" collapsed="false">
      <c r="A11" s="77" t="s">
        <v>170</v>
      </c>
      <c r="B11" s="77" t="s">
        <v>171</v>
      </c>
      <c r="C11" s="77" t="s">
        <v>37</v>
      </c>
      <c r="D11" s="77" t="s">
        <v>172</v>
      </c>
      <c r="E11" s="77" t="s">
        <v>157</v>
      </c>
      <c r="F11" s="77" t="s">
        <v>158</v>
      </c>
      <c r="G11" s="78" t="n">
        <v>45472</v>
      </c>
      <c r="H11" s="77" t="s">
        <v>134</v>
      </c>
      <c r="I11" s="77" t="s">
        <v>135</v>
      </c>
    </row>
    <row r="12" customFormat="false" ht="15" hidden="false" customHeight="false" outlineLevel="0" collapsed="false">
      <c r="A12" s="75" t="s">
        <v>173</v>
      </c>
      <c r="B12" s="75" t="s">
        <v>174</v>
      </c>
      <c r="C12" s="75" t="s">
        <v>33</v>
      </c>
      <c r="D12" s="75" t="s">
        <v>175</v>
      </c>
      <c r="E12" s="75" t="s">
        <v>176</v>
      </c>
      <c r="F12" s="75" t="s">
        <v>177</v>
      </c>
      <c r="G12" s="76" t="n">
        <v>45683</v>
      </c>
      <c r="H12" s="75" t="s">
        <v>134</v>
      </c>
      <c r="I12" s="75" t="s">
        <v>135</v>
      </c>
    </row>
    <row r="13" customFormat="false" ht="15" hidden="false" customHeight="false" outlineLevel="0" collapsed="false">
      <c r="A13" s="77" t="s">
        <v>178</v>
      </c>
      <c r="B13" s="77" t="s">
        <v>179</v>
      </c>
      <c r="C13" s="77" t="s">
        <v>35</v>
      </c>
      <c r="D13" s="77" t="s">
        <v>180</v>
      </c>
      <c r="E13" s="77" t="s">
        <v>181</v>
      </c>
      <c r="F13" s="77" t="s">
        <v>182</v>
      </c>
      <c r="G13" s="78" t="n">
        <v>44969</v>
      </c>
      <c r="H13" s="77" t="s">
        <v>134</v>
      </c>
      <c r="I13" s="77" t="s">
        <v>135</v>
      </c>
    </row>
    <row r="14" customFormat="false" ht="15" hidden="false" customHeight="false" outlineLevel="0" collapsed="false">
      <c r="A14" s="75" t="s">
        <v>183</v>
      </c>
      <c r="B14" s="75" t="s">
        <v>184</v>
      </c>
      <c r="C14" s="75" t="s">
        <v>43</v>
      </c>
      <c r="D14" s="75" t="s">
        <v>185</v>
      </c>
      <c r="E14" s="75" t="s">
        <v>186</v>
      </c>
      <c r="F14" s="75" t="s">
        <v>187</v>
      </c>
      <c r="G14" s="76" t="n">
        <v>45377</v>
      </c>
      <c r="H14" s="75" t="s">
        <v>134</v>
      </c>
      <c r="I14" s="75" t="s">
        <v>135</v>
      </c>
    </row>
    <row r="15" customFormat="false" ht="15" hidden="false" customHeight="false" outlineLevel="0" collapsed="false">
      <c r="A15" s="77" t="s">
        <v>188</v>
      </c>
      <c r="B15" s="77" t="s">
        <v>189</v>
      </c>
      <c r="C15" s="77" t="s">
        <v>45</v>
      </c>
      <c r="D15" s="77" t="s">
        <v>166</v>
      </c>
      <c r="E15" s="77" t="s">
        <v>152</v>
      </c>
      <c r="F15" s="77" t="s">
        <v>153</v>
      </c>
      <c r="G15" s="78" t="n">
        <v>45805</v>
      </c>
      <c r="H15" s="77" t="s">
        <v>134</v>
      </c>
      <c r="I15" s="77" t="s">
        <v>135</v>
      </c>
    </row>
    <row r="16" customFormat="false" ht="15" hidden="false" customHeight="false" outlineLevel="0" collapsed="false">
      <c r="A16" s="75" t="s">
        <v>190</v>
      </c>
      <c r="B16" s="75" t="s">
        <v>191</v>
      </c>
      <c r="C16" s="75" t="s">
        <v>45</v>
      </c>
      <c r="D16" s="75" t="s">
        <v>151</v>
      </c>
      <c r="E16" s="75" t="s">
        <v>152</v>
      </c>
      <c r="F16" s="75" t="s">
        <v>153</v>
      </c>
      <c r="G16" s="76" t="n">
        <v>45160</v>
      </c>
      <c r="H16" s="75" t="s">
        <v>134</v>
      </c>
      <c r="I16" s="75" t="s">
        <v>135</v>
      </c>
    </row>
    <row r="17" customFormat="false" ht="15" hidden="false" customHeight="false" outlineLevel="0" collapsed="false">
      <c r="A17" s="77" t="s">
        <v>192</v>
      </c>
      <c r="B17" s="77" t="s">
        <v>193</v>
      </c>
      <c r="C17" s="77" t="s">
        <v>45</v>
      </c>
      <c r="D17" s="77" t="s">
        <v>151</v>
      </c>
      <c r="E17" s="77" t="s">
        <v>152</v>
      </c>
      <c r="F17" s="77" t="s">
        <v>153</v>
      </c>
      <c r="G17" s="78" t="n">
        <v>45572</v>
      </c>
      <c r="H17" s="77" t="s">
        <v>134</v>
      </c>
      <c r="I17" s="77" t="s">
        <v>135</v>
      </c>
    </row>
    <row r="18" customFormat="false" ht="15" hidden="false" customHeight="false" outlineLevel="0" collapsed="false">
      <c r="A18" s="75" t="s">
        <v>194</v>
      </c>
      <c r="B18" s="75" t="s">
        <v>195</v>
      </c>
      <c r="C18" s="75" t="s">
        <v>35</v>
      </c>
      <c r="D18" s="75" t="s">
        <v>196</v>
      </c>
      <c r="E18" s="75" t="s">
        <v>181</v>
      </c>
      <c r="F18" s="75" t="s">
        <v>182</v>
      </c>
      <c r="G18" s="76" t="n">
        <v>45579</v>
      </c>
      <c r="H18" s="75" t="s">
        <v>134</v>
      </c>
      <c r="I18" s="75" t="s">
        <v>135</v>
      </c>
    </row>
    <row r="19" customFormat="false" ht="15" hidden="false" customHeight="false" outlineLevel="0" collapsed="false">
      <c r="A19" s="77" t="s">
        <v>197</v>
      </c>
      <c r="B19" s="77" t="s">
        <v>198</v>
      </c>
      <c r="C19" s="77" t="s">
        <v>39</v>
      </c>
      <c r="D19" s="77" t="s">
        <v>169</v>
      </c>
      <c r="E19" s="77" t="s">
        <v>139</v>
      </c>
      <c r="F19" s="77" t="s">
        <v>140</v>
      </c>
      <c r="G19" s="78" t="n">
        <v>44871</v>
      </c>
      <c r="H19" s="77" t="s">
        <v>134</v>
      </c>
      <c r="I19" s="77" t="s">
        <v>135</v>
      </c>
    </row>
    <row r="20" customFormat="false" ht="15" hidden="false" customHeight="false" outlineLevel="0" collapsed="false">
      <c r="A20" s="75" t="s">
        <v>55</v>
      </c>
      <c r="B20" s="75" t="s">
        <v>199</v>
      </c>
      <c r="C20" s="75" t="s">
        <v>42</v>
      </c>
      <c r="D20" s="75" t="s">
        <v>200</v>
      </c>
      <c r="E20" s="75" t="s">
        <v>201</v>
      </c>
      <c r="F20" s="75" t="s">
        <v>202</v>
      </c>
      <c r="G20" s="76" t="n">
        <v>46117</v>
      </c>
      <c r="H20" s="75" t="s">
        <v>203</v>
      </c>
      <c r="I20" s="75" t="s">
        <v>135</v>
      </c>
    </row>
    <row r="21" customFormat="false" ht="15.75" hidden="false" customHeight="true" outlineLevel="0" collapsed="false">
      <c r="A21" s="77" t="s">
        <v>87</v>
      </c>
      <c r="B21" s="77" t="s">
        <v>204</v>
      </c>
      <c r="C21" s="77" t="s">
        <v>45</v>
      </c>
      <c r="D21" s="77" t="s">
        <v>205</v>
      </c>
      <c r="E21" s="77" t="s">
        <v>152</v>
      </c>
      <c r="F21" s="77" t="s">
        <v>153</v>
      </c>
      <c r="G21" s="78" t="n">
        <v>45628</v>
      </c>
      <c r="H21" s="77" t="s">
        <v>134</v>
      </c>
      <c r="I21" s="77" t="s">
        <v>135</v>
      </c>
    </row>
    <row r="22" customFormat="false" ht="15.75" hidden="false" customHeight="true" outlineLevel="0" collapsed="false">
      <c r="A22" s="75" t="s">
        <v>69</v>
      </c>
      <c r="B22" s="75" t="s">
        <v>206</v>
      </c>
      <c r="C22" s="75" t="s">
        <v>45</v>
      </c>
      <c r="D22" s="75" t="s">
        <v>207</v>
      </c>
      <c r="E22" s="75" t="s">
        <v>152</v>
      </c>
      <c r="F22" s="75" t="s">
        <v>153</v>
      </c>
      <c r="G22" s="76" t="n">
        <v>45123</v>
      </c>
      <c r="H22" s="75" t="s">
        <v>207</v>
      </c>
      <c r="I22" s="76" t="n">
        <v>46161</v>
      </c>
    </row>
    <row r="23" customFormat="false" ht="15.75" hidden="false" customHeight="true" outlineLevel="0" collapsed="false">
      <c r="A23" s="77" t="s">
        <v>90</v>
      </c>
      <c r="B23" s="77" t="s">
        <v>208</v>
      </c>
      <c r="C23" s="77" t="s">
        <v>35</v>
      </c>
      <c r="D23" s="77" t="s">
        <v>196</v>
      </c>
      <c r="E23" s="77" t="s">
        <v>181</v>
      </c>
      <c r="F23" s="77" t="s">
        <v>182</v>
      </c>
      <c r="G23" s="78" t="n">
        <v>45780</v>
      </c>
      <c r="H23" s="77" t="s">
        <v>134</v>
      </c>
      <c r="I23" s="77" t="s">
        <v>135</v>
      </c>
    </row>
    <row r="24" customFormat="false" ht="15.75" hidden="false" customHeight="true" outlineLevel="0" collapsed="false">
      <c r="A24" s="75" t="s">
        <v>209</v>
      </c>
      <c r="B24" s="75" t="s">
        <v>210</v>
      </c>
      <c r="C24" s="75" t="s">
        <v>43</v>
      </c>
      <c r="D24" s="75" t="s">
        <v>211</v>
      </c>
      <c r="E24" s="75" t="s">
        <v>186</v>
      </c>
      <c r="F24" s="75" t="s">
        <v>187</v>
      </c>
      <c r="G24" s="76" t="n">
        <v>44706</v>
      </c>
      <c r="H24" s="75" t="s">
        <v>134</v>
      </c>
      <c r="I24" s="75" t="s">
        <v>135</v>
      </c>
    </row>
    <row r="25" customFormat="false" ht="15.75" hidden="false" customHeight="true" outlineLevel="0" collapsed="false">
      <c r="A25" s="77" t="s">
        <v>212</v>
      </c>
      <c r="B25" s="77" t="s">
        <v>213</v>
      </c>
      <c r="C25" s="77" t="s">
        <v>46</v>
      </c>
      <c r="D25" s="77" t="s">
        <v>214</v>
      </c>
      <c r="E25" s="77" t="s">
        <v>147</v>
      </c>
      <c r="F25" s="77" t="s">
        <v>148</v>
      </c>
      <c r="G25" s="78" t="n">
        <v>45194</v>
      </c>
      <c r="H25" s="77" t="s">
        <v>134</v>
      </c>
      <c r="I25" s="77" t="s">
        <v>135</v>
      </c>
    </row>
    <row r="26" customFormat="false" ht="15.75" hidden="false" customHeight="true" outlineLevel="0" collapsed="false">
      <c r="A26" s="75" t="s">
        <v>70</v>
      </c>
      <c r="B26" s="75" t="s">
        <v>215</v>
      </c>
      <c r="C26" s="75" t="s">
        <v>46</v>
      </c>
      <c r="D26" s="75" t="s">
        <v>207</v>
      </c>
      <c r="E26" s="75" t="s">
        <v>147</v>
      </c>
      <c r="F26" s="75" t="s">
        <v>148</v>
      </c>
      <c r="G26" s="76" t="n">
        <v>44984</v>
      </c>
      <c r="H26" s="75" t="s">
        <v>207</v>
      </c>
      <c r="I26" s="76" t="n">
        <v>46182</v>
      </c>
    </row>
    <row r="27" customFormat="false" ht="15.75" hidden="false" customHeight="true" outlineLevel="0" collapsed="false">
      <c r="A27" s="77" t="s">
        <v>216</v>
      </c>
      <c r="B27" s="77" t="s">
        <v>217</v>
      </c>
      <c r="C27" s="77" t="s">
        <v>37</v>
      </c>
      <c r="D27" s="77" t="s">
        <v>172</v>
      </c>
      <c r="E27" s="77" t="s">
        <v>157</v>
      </c>
      <c r="F27" s="77" t="s">
        <v>158</v>
      </c>
      <c r="G27" s="78" t="n">
        <v>45442</v>
      </c>
      <c r="H27" s="77" t="s">
        <v>134</v>
      </c>
      <c r="I27" s="77" t="s">
        <v>135</v>
      </c>
    </row>
    <row r="28" customFormat="false" ht="15.75" hidden="false" customHeight="true" outlineLevel="0" collapsed="false">
      <c r="A28" s="75" t="s">
        <v>218</v>
      </c>
      <c r="B28" s="75" t="s">
        <v>219</v>
      </c>
      <c r="C28" s="75" t="s">
        <v>44</v>
      </c>
      <c r="D28" s="75" t="s">
        <v>220</v>
      </c>
      <c r="E28" s="75" t="s">
        <v>162</v>
      </c>
      <c r="F28" s="75" t="s">
        <v>163</v>
      </c>
      <c r="G28" s="76" t="n">
        <v>44949</v>
      </c>
      <c r="H28" s="75" t="s">
        <v>134</v>
      </c>
      <c r="I28" s="75" t="s">
        <v>135</v>
      </c>
    </row>
    <row r="29" customFormat="false" ht="15.75" hidden="false" customHeight="true" outlineLevel="0" collapsed="false">
      <c r="A29" s="77" t="s">
        <v>221</v>
      </c>
      <c r="B29" s="77" t="s">
        <v>222</v>
      </c>
      <c r="C29" s="77" t="s">
        <v>43</v>
      </c>
      <c r="D29" s="77" t="s">
        <v>223</v>
      </c>
      <c r="E29" s="77" t="s">
        <v>186</v>
      </c>
      <c r="F29" s="77" t="s">
        <v>187</v>
      </c>
      <c r="G29" s="78" t="n">
        <v>44769</v>
      </c>
      <c r="H29" s="77" t="s">
        <v>134</v>
      </c>
      <c r="I29" s="77" t="s">
        <v>135</v>
      </c>
    </row>
    <row r="30" customFormat="false" ht="15.75" hidden="false" customHeight="true" outlineLevel="0" collapsed="false">
      <c r="A30" s="75" t="s">
        <v>93</v>
      </c>
      <c r="B30" s="75" t="s">
        <v>224</v>
      </c>
      <c r="C30" s="75" t="s">
        <v>44</v>
      </c>
      <c r="D30" s="75" t="s">
        <v>220</v>
      </c>
      <c r="E30" s="75" t="s">
        <v>162</v>
      </c>
      <c r="F30" s="75" t="s">
        <v>163</v>
      </c>
      <c r="G30" s="76" t="n">
        <v>44739</v>
      </c>
      <c r="H30" s="75" t="s">
        <v>134</v>
      </c>
      <c r="I30" s="75" t="s">
        <v>135</v>
      </c>
    </row>
    <row r="31" customFormat="false" ht="15.75" hidden="false" customHeight="true" outlineLevel="0" collapsed="false">
      <c r="A31" s="77" t="s">
        <v>225</v>
      </c>
      <c r="B31" s="77" t="s">
        <v>226</v>
      </c>
      <c r="C31" s="77" t="s">
        <v>45</v>
      </c>
      <c r="D31" s="77" t="s">
        <v>166</v>
      </c>
      <c r="E31" s="77" t="s">
        <v>152</v>
      </c>
      <c r="F31" s="77" t="s">
        <v>153</v>
      </c>
      <c r="G31" s="78" t="n">
        <v>45020</v>
      </c>
      <c r="H31" s="77" t="s">
        <v>134</v>
      </c>
      <c r="I31" s="77" t="s">
        <v>135</v>
      </c>
    </row>
    <row r="32" customFormat="false" ht="15.75" hidden="false" customHeight="true" outlineLevel="0" collapsed="false">
      <c r="A32" s="75" t="s">
        <v>227</v>
      </c>
      <c r="B32" s="75" t="s">
        <v>228</v>
      </c>
      <c r="C32" s="75" t="s">
        <v>39</v>
      </c>
      <c r="D32" s="75" t="s">
        <v>138</v>
      </c>
      <c r="E32" s="75" t="s">
        <v>139</v>
      </c>
      <c r="F32" s="75" t="s">
        <v>140</v>
      </c>
      <c r="G32" s="76" t="n">
        <v>45211</v>
      </c>
      <c r="H32" s="75" t="s">
        <v>134</v>
      </c>
      <c r="I32" s="75" t="s">
        <v>135</v>
      </c>
    </row>
    <row r="33" customFormat="false" ht="15.75" hidden="false" customHeight="true" outlineLevel="0" collapsed="false">
      <c r="A33" s="77" t="s">
        <v>92</v>
      </c>
      <c r="B33" s="77" t="s">
        <v>229</v>
      </c>
      <c r="C33" s="77" t="s">
        <v>37</v>
      </c>
      <c r="D33" s="77" t="s">
        <v>172</v>
      </c>
      <c r="E33" s="77" t="s">
        <v>157</v>
      </c>
      <c r="F33" s="77" t="s">
        <v>158</v>
      </c>
      <c r="G33" s="78" t="n">
        <v>45778</v>
      </c>
      <c r="H33" s="77" t="s">
        <v>134</v>
      </c>
      <c r="I33" s="77" t="s">
        <v>135</v>
      </c>
    </row>
    <row r="34" customFormat="false" ht="15.75" hidden="false" customHeight="true" outlineLevel="0" collapsed="false">
      <c r="A34" s="75" t="s">
        <v>230</v>
      </c>
      <c r="B34" s="75" t="s">
        <v>231</v>
      </c>
      <c r="C34" s="75" t="s">
        <v>43</v>
      </c>
      <c r="D34" s="75" t="s">
        <v>223</v>
      </c>
      <c r="E34" s="75" t="s">
        <v>186</v>
      </c>
      <c r="F34" s="75" t="s">
        <v>187</v>
      </c>
      <c r="G34" s="76" t="n">
        <v>45342</v>
      </c>
      <c r="H34" s="75" t="s">
        <v>134</v>
      </c>
      <c r="I34" s="75" t="s">
        <v>135</v>
      </c>
    </row>
    <row r="35" customFormat="false" ht="15.75" hidden="false" customHeight="true" outlineLevel="0" collapsed="false">
      <c r="A35" s="77" t="s">
        <v>232</v>
      </c>
      <c r="B35" s="77" t="s">
        <v>233</v>
      </c>
      <c r="C35" s="77" t="s">
        <v>39</v>
      </c>
      <c r="D35" s="77" t="s">
        <v>169</v>
      </c>
      <c r="E35" s="77" t="s">
        <v>139</v>
      </c>
      <c r="F35" s="77" t="s">
        <v>140</v>
      </c>
      <c r="G35" s="78" t="n">
        <v>44980</v>
      </c>
      <c r="H35" s="77" t="s">
        <v>134</v>
      </c>
      <c r="I35" s="77" t="s">
        <v>135</v>
      </c>
    </row>
    <row r="36" customFormat="false" ht="15.75" hidden="false" customHeight="true" outlineLevel="0" collapsed="false">
      <c r="A36" s="75" t="s">
        <v>234</v>
      </c>
      <c r="B36" s="75" t="s">
        <v>235</v>
      </c>
      <c r="C36" s="75" t="s">
        <v>41</v>
      </c>
      <c r="D36" s="75" t="s">
        <v>131</v>
      </c>
      <c r="E36" s="75" t="s">
        <v>132</v>
      </c>
      <c r="F36" s="75" t="s">
        <v>133</v>
      </c>
      <c r="G36" s="76" t="n">
        <v>45008</v>
      </c>
      <c r="H36" s="75" t="s">
        <v>134</v>
      </c>
      <c r="I36" s="75" t="s">
        <v>135</v>
      </c>
    </row>
    <row r="37" customFormat="false" ht="15.75" hidden="false" customHeight="true" outlineLevel="0" collapsed="false">
      <c r="A37" s="77" t="s">
        <v>236</v>
      </c>
      <c r="B37" s="77" t="s">
        <v>237</v>
      </c>
      <c r="C37" s="77" t="s">
        <v>37</v>
      </c>
      <c r="D37" s="77" t="s">
        <v>238</v>
      </c>
      <c r="E37" s="77" t="s">
        <v>157</v>
      </c>
      <c r="F37" s="77" t="s">
        <v>158</v>
      </c>
      <c r="G37" s="78" t="n">
        <v>45031</v>
      </c>
      <c r="H37" s="77" t="s">
        <v>134</v>
      </c>
      <c r="I37" s="77" t="s">
        <v>135</v>
      </c>
    </row>
    <row r="38" customFormat="false" ht="15.75" hidden="false" customHeight="true" outlineLevel="0" collapsed="false">
      <c r="A38" s="75" t="s">
        <v>71</v>
      </c>
      <c r="B38" s="75" t="s">
        <v>239</v>
      </c>
      <c r="C38" s="75" t="s">
        <v>35</v>
      </c>
      <c r="D38" s="75" t="s">
        <v>207</v>
      </c>
      <c r="E38" s="75" t="s">
        <v>181</v>
      </c>
      <c r="F38" s="75" t="s">
        <v>182</v>
      </c>
      <c r="G38" s="76" t="n">
        <v>45979</v>
      </c>
      <c r="H38" s="75" t="s">
        <v>207</v>
      </c>
      <c r="I38" s="76" t="n">
        <v>46183</v>
      </c>
    </row>
    <row r="39" customFormat="false" ht="15.75" hidden="false" customHeight="true" outlineLevel="0" collapsed="false">
      <c r="A39" s="77" t="s">
        <v>240</v>
      </c>
      <c r="B39" s="77" t="s">
        <v>206</v>
      </c>
      <c r="C39" s="77" t="s">
        <v>41</v>
      </c>
      <c r="D39" s="77" t="s">
        <v>241</v>
      </c>
      <c r="E39" s="77" t="s">
        <v>132</v>
      </c>
      <c r="F39" s="77" t="s">
        <v>133</v>
      </c>
      <c r="G39" s="78" t="n">
        <v>44850</v>
      </c>
      <c r="H39" s="77" t="s">
        <v>134</v>
      </c>
      <c r="I39" s="77" t="s">
        <v>135</v>
      </c>
    </row>
    <row r="40" customFormat="false" ht="15.75" hidden="false" customHeight="true" outlineLevel="0" collapsed="false">
      <c r="A40" s="75" t="s">
        <v>242</v>
      </c>
      <c r="B40" s="75" t="s">
        <v>243</v>
      </c>
      <c r="C40" s="75" t="s">
        <v>33</v>
      </c>
      <c r="D40" s="75" t="s">
        <v>175</v>
      </c>
      <c r="E40" s="75" t="s">
        <v>176</v>
      </c>
      <c r="F40" s="75" t="s">
        <v>177</v>
      </c>
      <c r="G40" s="76" t="n">
        <v>45700</v>
      </c>
      <c r="H40" s="75" t="s">
        <v>134</v>
      </c>
      <c r="I40" s="75" t="s">
        <v>135</v>
      </c>
    </row>
    <row r="41" customFormat="false" ht="15.75" hidden="false" customHeight="true" outlineLevel="0" collapsed="false">
      <c r="A41" s="77" t="s">
        <v>84</v>
      </c>
      <c r="B41" s="77" t="s">
        <v>244</v>
      </c>
      <c r="C41" s="77" t="s">
        <v>35</v>
      </c>
      <c r="D41" s="77" t="s">
        <v>245</v>
      </c>
      <c r="E41" s="77" t="s">
        <v>181</v>
      </c>
      <c r="F41" s="77" t="s">
        <v>182</v>
      </c>
      <c r="G41" s="78" t="n">
        <v>45182</v>
      </c>
      <c r="H41" s="77" t="s">
        <v>134</v>
      </c>
      <c r="I41" s="77" t="s">
        <v>135</v>
      </c>
    </row>
    <row r="42" customFormat="false" ht="15.75" hidden="false" customHeight="true" outlineLevel="0" collapsed="false">
      <c r="A42" s="75" t="s">
        <v>89</v>
      </c>
      <c r="B42" s="75" t="s">
        <v>246</v>
      </c>
      <c r="C42" s="75" t="s">
        <v>33</v>
      </c>
      <c r="D42" s="75" t="s">
        <v>247</v>
      </c>
      <c r="E42" s="75" t="s">
        <v>176</v>
      </c>
      <c r="F42" s="75" t="s">
        <v>177</v>
      </c>
      <c r="G42" s="76" t="n">
        <v>45968</v>
      </c>
      <c r="H42" s="75" t="s">
        <v>134</v>
      </c>
      <c r="I42" s="75" t="s">
        <v>135</v>
      </c>
    </row>
    <row r="43" customFormat="false" ht="15.75" hidden="false" customHeight="true" outlineLevel="0" collapsed="false">
      <c r="A43" s="77" t="s">
        <v>248</v>
      </c>
      <c r="B43" s="77" t="s">
        <v>249</v>
      </c>
      <c r="C43" s="77" t="s">
        <v>35</v>
      </c>
      <c r="D43" s="77" t="s">
        <v>180</v>
      </c>
      <c r="E43" s="77" t="s">
        <v>181</v>
      </c>
      <c r="F43" s="77" t="s">
        <v>182</v>
      </c>
      <c r="G43" s="78" t="n">
        <v>45618</v>
      </c>
      <c r="H43" s="77" t="s">
        <v>134</v>
      </c>
      <c r="I43" s="77" t="s">
        <v>135</v>
      </c>
    </row>
    <row r="44" customFormat="false" ht="15.75" hidden="false" customHeight="true" outlineLevel="0" collapsed="false">
      <c r="A44" s="75" t="s">
        <v>81</v>
      </c>
      <c r="B44" s="75" t="s">
        <v>250</v>
      </c>
      <c r="C44" s="75" t="s">
        <v>42</v>
      </c>
      <c r="D44" s="75" t="s">
        <v>200</v>
      </c>
      <c r="E44" s="75" t="s">
        <v>201</v>
      </c>
      <c r="F44" s="75" t="s">
        <v>202</v>
      </c>
      <c r="G44" s="76" t="n">
        <v>44779</v>
      </c>
      <c r="H44" s="75" t="s">
        <v>134</v>
      </c>
      <c r="I44" s="75" t="s">
        <v>135</v>
      </c>
    </row>
    <row r="45" customFormat="false" ht="15.75" hidden="false" customHeight="true" outlineLevel="0" collapsed="false">
      <c r="A45" s="77" t="s">
        <v>251</v>
      </c>
      <c r="B45" s="77" t="s">
        <v>252</v>
      </c>
      <c r="C45" s="77" t="s">
        <v>39</v>
      </c>
      <c r="D45" s="77" t="s">
        <v>138</v>
      </c>
      <c r="E45" s="77" t="s">
        <v>139</v>
      </c>
      <c r="F45" s="77" t="s">
        <v>140</v>
      </c>
      <c r="G45" s="78" t="n">
        <v>45843</v>
      </c>
      <c r="H45" s="77" t="s">
        <v>134</v>
      </c>
      <c r="I45" s="77" t="s">
        <v>135</v>
      </c>
    </row>
    <row r="46" customFormat="false" ht="15.75" hidden="false" customHeight="true" outlineLevel="0" collapsed="false">
      <c r="A46" s="75" t="s">
        <v>253</v>
      </c>
      <c r="B46" s="75" t="s">
        <v>254</v>
      </c>
      <c r="C46" s="75" t="s">
        <v>42</v>
      </c>
      <c r="D46" s="75" t="s">
        <v>255</v>
      </c>
      <c r="E46" s="75" t="s">
        <v>201</v>
      </c>
      <c r="F46" s="75" t="s">
        <v>202</v>
      </c>
      <c r="G46" s="76" t="n">
        <v>44880</v>
      </c>
      <c r="H46" s="75" t="s">
        <v>134</v>
      </c>
      <c r="I46" s="75" t="s">
        <v>135</v>
      </c>
    </row>
    <row r="47" customFormat="false" ht="15.75" hidden="false" customHeight="true" outlineLevel="0" collapsed="false">
      <c r="A47" s="77" t="s">
        <v>57</v>
      </c>
      <c r="B47" s="77" t="s">
        <v>256</v>
      </c>
      <c r="C47" s="77" t="s">
        <v>39</v>
      </c>
      <c r="D47" s="77" t="s">
        <v>257</v>
      </c>
      <c r="E47" s="77" t="s">
        <v>139</v>
      </c>
      <c r="F47" s="77" t="s">
        <v>140</v>
      </c>
      <c r="G47" s="78" t="n">
        <v>46014</v>
      </c>
      <c r="H47" s="77" t="s">
        <v>203</v>
      </c>
      <c r="I47" s="77" t="s">
        <v>135</v>
      </c>
    </row>
    <row r="48" customFormat="false" ht="15.75" hidden="false" customHeight="true" outlineLevel="0" collapsed="false">
      <c r="A48" s="75" t="s">
        <v>74</v>
      </c>
      <c r="B48" s="75" t="s">
        <v>258</v>
      </c>
      <c r="C48" s="75" t="s">
        <v>37</v>
      </c>
      <c r="D48" s="75" t="s">
        <v>207</v>
      </c>
      <c r="E48" s="75" t="s">
        <v>157</v>
      </c>
      <c r="F48" s="75" t="s">
        <v>158</v>
      </c>
      <c r="G48" s="76" t="n">
        <v>45851</v>
      </c>
      <c r="H48" s="75" t="s">
        <v>207</v>
      </c>
      <c r="I48" s="76" t="n">
        <v>46234</v>
      </c>
    </row>
    <row r="49" customFormat="false" ht="15.75" hidden="false" customHeight="true" outlineLevel="0" collapsed="false">
      <c r="A49" s="77" t="s">
        <v>58</v>
      </c>
      <c r="B49" s="77" t="s">
        <v>259</v>
      </c>
      <c r="C49" s="77" t="s">
        <v>42</v>
      </c>
      <c r="D49" s="77" t="s">
        <v>200</v>
      </c>
      <c r="E49" s="77" t="s">
        <v>201</v>
      </c>
      <c r="F49" s="77" t="s">
        <v>202</v>
      </c>
      <c r="G49" s="78" t="n">
        <v>46099</v>
      </c>
      <c r="H49" s="77" t="s">
        <v>203</v>
      </c>
      <c r="I49" s="77" t="s">
        <v>135</v>
      </c>
    </row>
    <row r="50" customFormat="false" ht="15.75" hidden="false" customHeight="true" outlineLevel="0" collapsed="false">
      <c r="A50" s="75" t="s">
        <v>73</v>
      </c>
      <c r="B50" s="75" t="s">
        <v>260</v>
      </c>
      <c r="C50" s="75" t="s">
        <v>42</v>
      </c>
      <c r="D50" s="75" t="s">
        <v>207</v>
      </c>
      <c r="E50" s="75" t="s">
        <v>201</v>
      </c>
      <c r="F50" s="75" t="s">
        <v>202</v>
      </c>
      <c r="G50" s="76" t="n">
        <v>45362</v>
      </c>
      <c r="H50" s="75" t="s">
        <v>207</v>
      </c>
      <c r="I50" s="76" t="n">
        <v>46227</v>
      </c>
    </row>
    <row r="51" customFormat="false" ht="15.75" hidden="false" customHeight="true" outlineLevel="0" collapsed="false">
      <c r="A51" s="77" t="s">
        <v>261</v>
      </c>
      <c r="B51" s="77" t="s">
        <v>262</v>
      </c>
      <c r="C51" s="77" t="s">
        <v>37</v>
      </c>
      <c r="D51" s="77" t="s">
        <v>172</v>
      </c>
      <c r="E51" s="77" t="s">
        <v>157</v>
      </c>
      <c r="F51" s="77" t="s">
        <v>158</v>
      </c>
      <c r="G51" s="78" t="n">
        <v>45386</v>
      </c>
      <c r="H51" s="77" t="s">
        <v>134</v>
      </c>
      <c r="I51" s="77" t="s">
        <v>135</v>
      </c>
    </row>
    <row r="52" customFormat="false" ht="15.75" hidden="false" customHeight="true" outlineLevel="0" collapsed="false">
      <c r="A52" s="75" t="s">
        <v>263</v>
      </c>
      <c r="B52" s="75" t="s">
        <v>264</v>
      </c>
      <c r="C52" s="75" t="s">
        <v>46</v>
      </c>
      <c r="D52" s="75" t="s">
        <v>265</v>
      </c>
      <c r="E52" s="75" t="s">
        <v>147</v>
      </c>
      <c r="F52" s="75" t="s">
        <v>148</v>
      </c>
      <c r="G52" s="76" t="n">
        <v>44847</v>
      </c>
      <c r="H52" s="75" t="s">
        <v>134</v>
      </c>
      <c r="I52" s="75" t="s">
        <v>135</v>
      </c>
    </row>
    <row r="53" customFormat="false" ht="15.75" hidden="false" customHeight="true" outlineLevel="0" collapsed="false">
      <c r="A53" s="77" t="s">
        <v>266</v>
      </c>
      <c r="B53" s="77" t="s">
        <v>267</v>
      </c>
      <c r="C53" s="77" t="s">
        <v>35</v>
      </c>
      <c r="D53" s="77" t="s">
        <v>180</v>
      </c>
      <c r="E53" s="77" t="s">
        <v>181</v>
      </c>
      <c r="F53" s="77" t="s">
        <v>182</v>
      </c>
      <c r="G53" s="78" t="n">
        <v>45751</v>
      </c>
      <c r="H53" s="77" t="s">
        <v>134</v>
      </c>
      <c r="I53" s="77" t="s">
        <v>135</v>
      </c>
    </row>
    <row r="54" customFormat="false" ht="15.75" hidden="false" customHeight="true" outlineLevel="0" collapsed="false">
      <c r="A54" s="75" t="s">
        <v>268</v>
      </c>
      <c r="B54" s="75" t="s">
        <v>269</v>
      </c>
      <c r="C54" s="75" t="s">
        <v>39</v>
      </c>
      <c r="D54" s="75" t="s">
        <v>169</v>
      </c>
      <c r="E54" s="75" t="s">
        <v>139</v>
      </c>
      <c r="F54" s="75" t="s">
        <v>140</v>
      </c>
      <c r="G54" s="76" t="n">
        <v>45897</v>
      </c>
      <c r="H54" s="75" t="s">
        <v>134</v>
      </c>
      <c r="I54" s="75" t="s">
        <v>135</v>
      </c>
    </row>
    <row r="55" customFormat="false" ht="15.75" hidden="false" customHeight="true" outlineLevel="0" collapsed="false">
      <c r="A55" s="77" t="s">
        <v>270</v>
      </c>
      <c r="B55" s="77" t="s">
        <v>271</v>
      </c>
      <c r="C55" s="77" t="s">
        <v>41</v>
      </c>
      <c r="D55" s="77" t="s">
        <v>143</v>
      </c>
      <c r="E55" s="77" t="s">
        <v>132</v>
      </c>
      <c r="F55" s="77" t="s">
        <v>133</v>
      </c>
      <c r="G55" s="78" t="n">
        <v>45402</v>
      </c>
      <c r="H55" s="77" t="s">
        <v>134</v>
      </c>
      <c r="I55" s="77" t="s">
        <v>135</v>
      </c>
    </row>
    <row r="56" customFormat="false" ht="15.75" hidden="false" customHeight="true" outlineLevel="0" collapsed="false">
      <c r="A56" s="75" t="s">
        <v>59</v>
      </c>
      <c r="B56" s="75" t="s">
        <v>272</v>
      </c>
      <c r="C56" s="75" t="s">
        <v>41</v>
      </c>
      <c r="D56" s="75" t="s">
        <v>143</v>
      </c>
      <c r="E56" s="75" t="s">
        <v>132</v>
      </c>
      <c r="F56" s="75" t="s">
        <v>133</v>
      </c>
      <c r="G56" s="76" t="n">
        <v>45976</v>
      </c>
      <c r="H56" s="75" t="s">
        <v>203</v>
      </c>
      <c r="I56" s="75" t="s">
        <v>135</v>
      </c>
    </row>
    <row r="57" customFormat="false" ht="15.75" hidden="false" customHeight="true" outlineLevel="0" collapsed="false">
      <c r="A57" s="77" t="s">
        <v>273</v>
      </c>
      <c r="B57" s="77" t="s">
        <v>274</v>
      </c>
      <c r="C57" s="77" t="s">
        <v>43</v>
      </c>
      <c r="D57" s="77" t="s">
        <v>211</v>
      </c>
      <c r="E57" s="77" t="s">
        <v>186</v>
      </c>
      <c r="F57" s="77" t="s">
        <v>187</v>
      </c>
      <c r="G57" s="78" t="n">
        <v>45440</v>
      </c>
      <c r="H57" s="77" t="s">
        <v>134</v>
      </c>
      <c r="I57" s="77" t="s">
        <v>135</v>
      </c>
    </row>
    <row r="58" customFormat="false" ht="15.75" hidden="false" customHeight="true" outlineLevel="0" collapsed="false">
      <c r="A58" s="75" t="s">
        <v>60</v>
      </c>
      <c r="B58" s="75" t="s">
        <v>275</v>
      </c>
      <c r="C58" s="75" t="s">
        <v>35</v>
      </c>
      <c r="D58" s="75" t="s">
        <v>245</v>
      </c>
      <c r="E58" s="75" t="s">
        <v>181</v>
      </c>
      <c r="F58" s="75" t="s">
        <v>182</v>
      </c>
      <c r="G58" s="76" t="n">
        <v>46040</v>
      </c>
      <c r="H58" s="75" t="s">
        <v>203</v>
      </c>
      <c r="I58" s="75" t="s">
        <v>135</v>
      </c>
    </row>
    <row r="59" customFormat="false" ht="15.75" hidden="false" customHeight="true" outlineLevel="0" collapsed="false">
      <c r="A59" s="77" t="s">
        <v>276</v>
      </c>
      <c r="B59" s="77" t="s">
        <v>277</v>
      </c>
      <c r="C59" s="77" t="s">
        <v>46</v>
      </c>
      <c r="D59" s="77" t="s">
        <v>214</v>
      </c>
      <c r="E59" s="77" t="s">
        <v>147</v>
      </c>
      <c r="F59" s="77" t="s">
        <v>148</v>
      </c>
      <c r="G59" s="78" t="n">
        <v>45882</v>
      </c>
      <c r="H59" s="77" t="s">
        <v>134</v>
      </c>
      <c r="I59" s="77" t="s">
        <v>135</v>
      </c>
    </row>
    <row r="60" customFormat="false" ht="15.75" hidden="false" customHeight="true" outlineLevel="0" collapsed="false">
      <c r="A60" s="75" t="s">
        <v>278</v>
      </c>
      <c r="B60" s="75" t="s">
        <v>279</v>
      </c>
      <c r="C60" s="75" t="s">
        <v>37</v>
      </c>
      <c r="D60" s="75" t="s">
        <v>172</v>
      </c>
      <c r="E60" s="75" t="s">
        <v>157</v>
      </c>
      <c r="F60" s="75" t="s">
        <v>158</v>
      </c>
      <c r="G60" s="76" t="n">
        <v>45054</v>
      </c>
      <c r="H60" s="75" t="s">
        <v>134</v>
      </c>
      <c r="I60" s="75" t="s">
        <v>135</v>
      </c>
    </row>
    <row r="61" customFormat="false" ht="15.75" hidden="false" customHeight="true" outlineLevel="0" collapsed="false">
      <c r="A61" s="77" t="s">
        <v>280</v>
      </c>
      <c r="B61" s="77" t="s">
        <v>281</v>
      </c>
      <c r="C61" s="77" t="s">
        <v>46</v>
      </c>
      <c r="D61" s="77" t="s">
        <v>214</v>
      </c>
      <c r="E61" s="77" t="s">
        <v>147</v>
      </c>
      <c r="F61" s="77" t="s">
        <v>148</v>
      </c>
      <c r="G61" s="78" t="n">
        <v>45442</v>
      </c>
      <c r="H61" s="77" t="s">
        <v>134</v>
      </c>
      <c r="I61" s="77" t="s">
        <v>135</v>
      </c>
    </row>
    <row r="62" customFormat="false" ht="15.75" hidden="false" customHeight="true" outlineLevel="0" collapsed="false">
      <c r="A62" s="75" t="s">
        <v>282</v>
      </c>
      <c r="B62" s="75" t="s">
        <v>283</v>
      </c>
      <c r="C62" s="75" t="s">
        <v>39</v>
      </c>
      <c r="D62" s="75" t="s">
        <v>169</v>
      </c>
      <c r="E62" s="75" t="s">
        <v>139</v>
      </c>
      <c r="F62" s="75" t="s">
        <v>140</v>
      </c>
      <c r="G62" s="76" t="n">
        <v>45282</v>
      </c>
      <c r="H62" s="75" t="s">
        <v>134</v>
      </c>
      <c r="I62" s="75" t="s">
        <v>135</v>
      </c>
    </row>
    <row r="63" customFormat="false" ht="15.75" hidden="false" customHeight="true" outlineLevel="0" collapsed="false">
      <c r="A63" s="77" t="s">
        <v>284</v>
      </c>
      <c r="B63" s="77" t="s">
        <v>285</v>
      </c>
      <c r="C63" s="77" t="s">
        <v>42</v>
      </c>
      <c r="D63" s="77" t="s">
        <v>255</v>
      </c>
      <c r="E63" s="77" t="s">
        <v>201</v>
      </c>
      <c r="F63" s="77" t="s">
        <v>202</v>
      </c>
      <c r="G63" s="78" t="n">
        <v>44757</v>
      </c>
      <c r="H63" s="77" t="s">
        <v>134</v>
      </c>
      <c r="I63" s="77" t="s">
        <v>135</v>
      </c>
    </row>
    <row r="64" customFormat="false" ht="15.75" hidden="false" customHeight="true" outlineLevel="0" collapsed="false">
      <c r="A64" s="75" t="s">
        <v>286</v>
      </c>
      <c r="B64" s="75" t="s">
        <v>287</v>
      </c>
      <c r="C64" s="75" t="s">
        <v>33</v>
      </c>
      <c r="D64" s="75" t="s">
        <v>175</v>
      </c>
      <c r="E64" s="75" t="s">
        <v>176</v>
      </c>
      <c r="F64" s="75" t="s">
        <v>177</v>
      </c>
      <c r="G64" s="76" t="n">
        <v>44996</v>
      </c>
      <c r="H64" s="75" t="s">
        <v>134</v>
      </c>
      <c r="I64" s="75" t="s">
        <v>135</v>
      </c>
    </row>
    <row r="65" customFormat="false" ht="15.75" hidden="false" customHeight="true" outlineLevel="0" collapsed="false">
      <c r="A65" s="77" t="s">
        <v>288</v>
      </c>
      <c r="B65" s="77" t="s">
        <v>289</v>
      </c>
      <c r="C65" s="77" t="s">
        <v>43</v>
      </c>
      <c r="D65" s="77" t="s">
        <v>211</v>
      </c>
      <c r="E65" s="77" t="s">
        <v>186</v>
      </c>
      <c r="F65" s="77" t="s">
        <v>187</v>
      </c>
      <c r="G65" s="78" t="n">
        <v>44778</v>
      </c>
      <c r="H65" s="77" t="s">
        <v>134</v>
      </c>
      <c r="I65" s="77" t="s">
        <v>135</v>
      </c>
    </row>
    <row r="66" customFormat="false" ht="15.75" hidden="false" customHeight="true" outlineLevel="0" collapsed="false">
      <c r="A66" s="75" t="s">
        <v>290</v>
      </c>
      <c r="B66" s="75" t="s">
        <v>291</v>
      </c>
      <c r="C66" s="75" t="s">
        <v>41</v>
      </c>
      <c r="D66" s="75" t="s">
        <v>131</v>
      </c>
      <c r="E66" s="75" t="s">
        <v>132</v>
      </c>
      <c r="F66" s="75" t="s">
        <v>133</v>
      </c>
      <c r="G66" s="76" t="n">
        <v>45771</v>
      </c>
      <c r="H66" s="75" t="s">
        <v>134</v>
      </c>
      <c r="I66" s="75" t="s">
        <v>135</v>
      </c>
    </row>
    <row r="67" customFormat="false" ht="15.75" hidden="false" customHeight="true" outlineLevel="0" collapsed="false">
      <c r="A67" s="77" t="s">
        <v>72</v>
      </c>
      <c r="B67" s="77" t="s">
        <v>292</v>
      </c>
      <c r="C67" s="77" t="s">
        <v>46</v>
      </c>
      <c r="D67" s="77" t="s">
        <v>207</v>
      </c>
      <c r="E67" s="77" t="s">
        <v>147</v>
      </c>
      <c r="F67" s="77" t="s">
        <v>148</v>
      </c>
      <c r="G67" s="78" t="n">
        <v>45637</v>
      </c>
      <c r="H67" s="77" t="s">
        <v>207</v>
      </c>
      <c r="I67" s="78" t="n">
        <v>46192</v>
      </c>
    </row>
    <row r="68" customFormat="false" ht="15.75" hidden="false" customHeight="true" outlineLevel="0" collapsed="false">
      <c r="A68" s="75" t="s">
        <v>293</v>
      </c>
      <c r="B68" s="75" t="s">
        <v>294</v>
      </c>
      <c r="C68" s="75" t="s">
        <v>37</v>
      </c>
      <c r="D68" s="75" t="s">
        <v>156</v>
      </c>
      <c r="E68" s="75" t="s">
        <v>157</v>
      </c>
      <c r="F68" s="75" t="s">
        <v>158</v>
      </c>
      <c r="G68" s="76" t="n">
        <v>44867</v>
      </c>
      <c r="H68" s="75" t="s">
        <v>134</v>
      </c>
      <c r="I68" s="75" t="s">
        <v>135</v>
      </c>
    </row>
    <row r="69" customFormat="false" ht="15.75" hidden="false" customHeight="true" outlineLevel="0" collapsed="false">
      <c r="A69" s="77" t="s">
        <v>295</v>
      </c>
      <c r="B69" s="77" t="s">
        <v>296</v>
      </c>
      <c r="C69" s="77" t="s">
        <v>41</v>
      </c>
      <c r="D69" s="77" t="s">
        <v>143</v>
      </c>
      <c r="E69" s="77" t="s">
        <v>132</v>
      </c>
      <c r="F69" s="77" t="s">
        <v>133</v>
      </c>
      <c r="G69" s="78" t="n">
        <v>45106</v>
      </c>
      <c r="H69" s="77" t="s">
        <v>134</v>
      </c>
      <c r="I69" s="77" t="s">
        <v>135</v>
      </c>
    </row>
    <row r="70" customFormat="false" ht="15.75" hidden="false" customHeight="true" outlineLevel="0" collapsed="false">
      <c r="A70" s="75" t="s">
        <v>297</v>
      </c>
      <c r="B70" s="75" t="s">
        <v>298</v>
      </c>
      <c r="C70" s="75" t="s">
        <v>45</v>
      </c>
      <c r="D70" s="75" t="s">
        <v>166</v>
      </c>
      <c r="E70" s="75" t="s">
        <v>152</v>
      </c>
      <c r="F70" s="75" t="s">
        <v>153</v>
      </c>
      <c r="G70" s="76" t="n">
        <v>45758</v>
      </c>
      <c r="H70" s="75" t="s">
        <v>134</v>
      </c>
      <c r="I70" s="75" t="s">
        <v>135</v>
      </c>
    </row>
    <row r="71" customFormat="false" ht="15.75" hidden="false" customHeight="true" outlineLevel="0" collapsed="false">
      <c r="A71" s="77" t="s">
        <v>299</v>
      </c>
      <c r="B71" s="77" t="s">
        <v>300</v>
      </c>
      <c r="C71" s="77" t="s">
        <v>41</v>
      </c>
      <c r="D71" s="77" t="s">
        <v>241</v>
      </c>
      <c r="E71" s="77" t="s">
        <v>132</v>
      </c>
      <c r="F71" s="77" t="s">
        <v>133</v>
      </c>
      <c r="G71" s="78" t="n">
        <v>45184</v>
      </c>
      <c r="H71" s="77" t="s">
        <v>134</v>
      </c>
      <c r="I71" s="77" t="s">
        <v>135</v>
      </c>
    </row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FA3"/>
    <pageSetUpPr fitToPage="false"/>
  </sheetPr>
  <dimension ref="A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26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32"/>
    <col collapsed="false" customWidth="true" hidden="false" outlineLevel="0" max="9" min="9" style="0" width="21"/>
    <col collapsed="false" customWidth="true" hidden="false" outlineLevel="0" max="10" min="10" style="0" width="19"/>
    <col collapsed="false" customWidth="true" hidden="false" outlineLevel="0" max="11" min="11" style="0" width="32"/>
    <col collapsed="false" customWidth="true" hidden="false" outlineLevel="0" max="26" min="12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124</v>
      </c>
      <c r="E1" s="74" t="s">
        <v>125</v>
      </c>
      <c r="F1" s="74" t="s">
        <v>301</v>
      </c>
      <c r="G1" s="74" t="s">
        <v>302</v>
      </c>
      <c r="H1" s="74" t="s">
        <v>126</v>
      </c>
      <c r="I1" s="74" t="s">
        <v>127</v>
      </c>
      <c r="J1" s="74" t="s">
        <v>128</v>
      </c>
      <c r="K1" s="74" t="s">
        <v>129</v>
      </c>
    </row>
    <row r="2" customFormat="false" ht="15" hidden="false" customHeight="false" outlineLevel="0" collapsed="false">
      <c r="A2" s="75" t="s">
        <v>303</v>
      </c>
      <c r="B2" s="75" t="s">
        <v>304</v>
      </c>
      <c r="C2" s="75" t="s">
        <v>42</v>
      </c>
      <c r="D2" s="75" t="s">
        <v>255</v>
      </c>
      <c r="E2" s="75" t="s">
        <v>201</v>
      </c>
      <c r="F2" s="79" t="n">
        <v>75</v>
      </c>
      <c r="G2" s="80" t="n">
        <v>30146</v>
      </c>
      <c r="H2" s="75" t="s">
        <v>202</v>
      </c>
      <c r="I2" s="76" t="n">
        <v>44864</v>
      </c>
      <c r="J2" s="75" t="s">
        <v>134</v>
      </c>
      <c r="K2" s="75" t="s">
        <v>135</v>
      </c>
    </row>
    <row r="3" customFormat="false" ht="15" hidden="false" customHeight="false" outlineLevel="0" collapsed="false">
      <c r="A3" s="77" t="s">
        <v>305</v>
      </c>
      <c r="B3" s="77" t="s">
        <v>306</v>
      </c>
      <c r="C3" s="77" t="s">
        <v>44</v>
      </c>
      <c r="D3" s="77" t="s">
        <v>307</v>
      </c>
      <c r="E3" s="77" t="s">
        <v>162</v>
      </c>
      <c r="F3" s="81" t="n">
        <v>75</v>
      </c>
      <c r="G3" s="82" t="n">
        <v>27398</v>
      </c>
      <c r="H3" s="77" t="s">
        <v>163</v>
      </c>
      <c r="I3" s="78" t="n">
        <v>45146</v>
      </c>
      <c r="J3" s="77" t="s">
        <v>134</v>
      </c>
      <c r="K3" s="77" t="s">
        <v>135</v>
      </c>
    </row>
    <row r="4" customFormat="false" ht="15" hidden="false" customHeight="false" outlineLevel="0" collapsed="false">
      <c r="A4" s="75" t="s">
        <v>88</v>
      </c>
      <c r="B4" s="75" t="s">
        <v>308</v>
      </c>
      <c r="C4" s="75" t="s">
        <v>39</v>
      </c>
      <c r="D4" s="75" t="s">
        <v>169</v>
      </c>
      <c r="E4" s="75" t="s">
        <v>139</v>
      </c>
      <c r="F4" s="79" t="n">
        <v>75</v>
      </c>
      <c r="G4" s="80" t="n">
        <v>16808</v>
      </c>
      <c r="H4" s="75" t="s">
        <v>140</v>
      </c>
      <c r="I4" s="76" t="n">
        <v>45126</v>
      </c>
      <c r="J4" s="75" t="s">
        <v>134</v>
      </c>
      <c r="K4" s="75" t="s">
        <v>135</v>
      </c>
    </row>
    <row r="5" customFormat="false" ht="15" hidden="false" customHeight="false" outlineLevel="0" collapsed="false">
      <c r="A5" s="77" t="s">
        <v>309</v>
      </c>
      <c r="B5" s="77" t="s">
        <v>310</v>
      </c>
      <c r="C5" s="77" t="s">
        <v>39</v>
      </c>
      <c r="D5" s="77" t="s">
        <v>257</v>
      </c>
      <c r="E5" s="77" t="s">
        <v>139</v>
      </c>
      <c r="F5" s="81" t="n">
        <v>50</v>
      </c>
      <c r="G5" s="82" t="n">
        <v>31923</v>
      </c>
      <c r="H5" s="77" t="s">
        <v>140</v>
      </c>
      <c r="I5" s="78" t="n">
        <v>45464</v>
      </c>
      <c r="J5" s="77" t="s">
        <v>134</v>
      </c>
      <c r="K5" s="77" t="s">
        <v>135</v>
      </c>
    </row>
    <row r="6" customFormat="false" ht="15" hidden="false" customHeight="false" outlineLevel="0" collapsed="false">
      <c r="A6" s="75" t="s">
        <v>86</v>
      </c>
      <c r="B6" s="75" t="s">
        <v>311</v>
      </c>
      <c r="C6" s="75" t="s">
        <v>41</v>
      </c>
      <c r="D6" s="75" t="s">
        <v>241</v>
      </c>
      <c r="E6" s="75" t="s">
        <v>132</v>
      </c>
      <c r="F6" s="79" t="n">
        <v>75</v>
      </c>
      <c r="G6" s="80" t="n">
        <v>8017</v>
      </c>
      <c r="H6" s="75" t="s">
        <v>133</v>
      </c>
      <c r="I6" s="76" t="n">
        <v>45680</v>
      </c>
      <c r="J6" s="75" t="s">
        <v>134</v>
      </c>
      <c r="K6" s="75" t="s">
        <v>135</v>
      </c>
    </row>
    <row r="7" customFormat="false" ht="15" hidden="false" customHeight="false" outlineLevel="0" collapsed="false">
      <c r="A7" s="77" t="s">
        <v>312</v>
      </c>
      <c r="B7" s="77" t="s">
        <v>313</v>
      </c>
      <c r="C7" s="77" t="s">
        <v>42</v>
      </c>
      <c r="D7" s="77" t="s">
        <v>314</v>
      </c>
      <c r="E7" s="77" t="s">
        <v>201</v>
      </c>
      <c r="F7" s="81" t="n">
        <v>75</v>
      </c>
      <c r="G7" s="82" t="n">
        <v>25895</v>
      </c>
      <c r="H7" s="77" t="s">
        <v>202</v>
      </c>
      <c r="I7" s="78" t="n">
        <v>45695</v>
      </c>
      <c r="J7" s="77" t="s">
        <v>134</v>
      </c>
      <c r="K7" s="77" t="s">
        <v>135</v>
      </c>
    </row>
    <row r="8" customFormat="false" ht="15" hidden="false" customHeight="false" outlineLevel="0" collapsed="false">
      <c r="A8" s="75" t="s">
        <v>315</v>
      </c>
      <c r="B8" s="75" t="s">
        <v>316</v>
      </c>
      <c r="C8" s="75" t="s">
        <v>37</v>
      </c>
      <c r="D8" s="75" t="s">
        <v>238</v>
      </c>
      <c r="E8" s="75" t="s">
        <v>157</v>
      </c>
      <c r="F8" s="79" t="n">
        <v>50</v>
      </c>
      <c r="G8" s="80" t="n">
        <v>28750</v>
      </c>
      <c r="H8" s="75" t="s">
        <v>158</v>
      </c>
      <c r="I8" s="76" t="n">
        <v>45339</v>
      </c>
      <c r="J8" s="75" t="s">
        <v>134</v>
      </c>
      <c r="K8" s="75" t="s">
        <v>135</v>
      </c>
    </row>
    <row r="9" customFormat="false" ht="15" hidden="false" customHeight="false" outlineLevel="0" collapsed="false">
      <c r="A9" s="77" t="s">
        <v>317</v>
      </c>
      <c r="B9" s="77" t="s">
        <v>318</v>
      </c>
      <c r="C9" s="77" t="s">
        <v>43</v>
      </c>
      <c r="D9" s="77" t="s">
        <v>185</v>
      </c>
      <c r="E9" s="77" t="s">
        <v>186</v>
      </c>
      <c r="F9" s="81" t="n">
        <v>100</v>
      </c>
      <c r="G9" s="82" t="n">
        <v>32223</v>
      </c>
      <c r="H9" s="77" t="s">
        <v>187</v>
      </c>
      <c r="I9" s="78" t="n">
        <v>45016</v>
      </c>
      <c r="J9" s="77" t="s">
        <v>134</v>
      </c>
      <c r="K9" s="77" t="s">
        <v>135</v>
      </c>
    </row>
    <row r="10" customFormat="false" ht="15" hidden="false" customHeight="false" outlineLevel="0" collapsed="false">
      <c r="A10" s="75" t="s">
        <v>82</v>
      </c>
      <c r="B10" s="75" t="s">
        <v>319</v>
      </c>
      <c r="C10" s="75" t="s">
        <v>44</v>
      </c>
      <c r="D10" s="75" t="s">
        <v>161</v>
      </c>
      <c r="E10" s="75" t="s">
        <v>162</v>
      </c>
      <c r="F10" s="79" t="n">
        <v>75</v>
      </c>
      <c r="G10" s="80" t="n">
        <v>6248</v>
      </c>
      <c r="H10" s="75" t="s">
        <v>163</v>
      </c>
      <c r="I10" s="76" t="n">
        <v>45124</v>
      </c>
      <c r="J10" s="75" t="s">
        <v>134</v>
      </c>
      <c r="K10" s="75" t="s">
        <v>135</v>
      </c>
    </row>
    <row r="11" customFormat="false" ht="15" hidden="false" customHeight="false" outlineLevel="0" collapsed="false">
      <c r="A11" s="77" t="s">
        <v>320</v>
      </c>
      <c r="B11" s="77" t="s">
        <v>321</v>
      </c>
      <c r="C11" s="77" t="s">
        <v>35</v>
      </c>
      <c r="D11" s="77" t="s">
        <v>180</v>
      </c>
      <c r="E11" s="77" t="s">
        <v>181</v>
      </c>
      <c r="F11" s="81" t="n">
        <v>50</v>
      </c>
      <c r="G11" s="82" t="n">
        <v>31620</v>
      </c>
      <c r="H11" s="77" t="s">
        <v>182</v>
      </c>
      <c r="I11" s="78" t="n">
        <v>44844</v>
      </c>
      <c r="J11" s="77" t="s">
        <v>134</v>
      </c>
      <c r="K11" s="77" t="s">
        <v>135</v>
      </c>
    </row>
    <row r="12" customFormat="false" ht="15" hidden="false" customHeight="false" outlineLevel="0" collapsed="false">
      <c r="A12" s="75" t="s">
        <v>322</v>
      </c>
      <c r="B12" s="75" t="s">
        <v>323</v>
      </c>
      <c r="C12" s="75" t="s">
        <v>33</v>
      </c>
      <c r="D12" s="75" t="s">
        <v>247</v>
      </c>
      <c r="E12" s="75" t="s">
        <v>176</v>
      </c>
      <c r="F12" s="79" t="n">
        <v>50</v>
      </c>
      <c r="G12" s="80" t="n">
        <v>26320</v>
      </c>
      <c r="H12" s="75" t="s">
        <v>177</v>
      </c>
      <c r="I12" s="76" t="n">
        <v>45947</v>
      </c>
      <c r="J12" s="75" t="s">
        <v>134</v>
      </c>
      <c r="K12" s="75" t="s">
        <v>135</v>
      </c>
    </row>
    <row r="13" customFormat="false" ht="15" hidden="false" customHeight="false" outlineLevel="0" collapsed="false">
      <c r="A13" s="77" t="s">
        <v>75</v>
      </c>
      <c r="B13" s="77" t="s">
        <v>324</v>
      </c>
      <c r="C13" s="77" t="s">
        <v>35</v>
      </c>
      <c r="D13" s="77" t="s">
        <v>207</v>
      </c>
      <c r="E13" s="77" t="s">
        <v>181</v>
      </c>
      <c r="F13" s="81" t="n">
        <v>75</v>
      </c>
      <c r="G13" s="82" t="n">
        <v>1051</v>
      </c>
      <c r="H13" s="77" t="s">
        <v>182</v>
      </c>
      <c r="I13" s="78" t="n">
        <v>45342</v>
      </c>
      <c r="J13" s="77" t="s">
        <v>207</v>
      </c>
      <c r="K13" s="78" t="n">
        <v>46194</v>
      </c>
    </row>
    <row r="14" customFormat="false" ht="15" hidden="false" customHeight="false" outlineLevel="0" collapsed="false">
      <c r="A14" s="75" t="s">
        <v>325</v>
      </c>
      <c r="B14" s="75" t="s">
        <v>326</v>
      </c>
      <c r="C14" s="75" t="s">
        <v>43</v>
      </c>
      <c r="D14" s="75" t="s">
        <v>185</v>
      </c>
      <c r="E14" s="75" t="s">
        <v>186</v>
      </c>
      <c r="F14" s="79" t="n">
        <v>75</v>
      </c>
      <c r="G14" s="80" t="n">
        <v>8905</v>
      </c>
      <c r="H14" s="75" t="s">
        <v>187</v>
      </c>
      <c r="I14" s="76" t="n">
        <v>45602</v>
      </c>
      <c r="J14" s="75" t="s">
        <v>134</v>
      </c>
      <c r="K14" s="75" t="s">
        <v>135</v>
      </c>
    </row>
    <row r="15" customFormat="false" ht="15" hidden="false" customHeight="false" outlineLevel="0" collapsed="false">
      <c r="A15" s="77" t="s">
        <v>327</v>
      </c>
      <c r="B15" s="77" t="s">
        <v>328</v>
      </c>
      <c r="C15" s="77" t="s">
        <v>37</v>
      </c>
      <c r="D15" s="77" t="s">
        <v>156</v>
      </c>
      <c r="E15" s="77" t="s">
        <v>157</v>
      </c>
      <c r="F15" s="81" t="n">
        <v>100</v>
      </c>
      <c r="G15" s="82" t="n">
        <v>8237</v>
      </c>
      <c r="H15" s="77" t="s">
        <v>158</v>
      </c>
      <c r="I15" s="78" t="n">
        <v>45659</v>
      </c>
      <c r="J15" s="77" t="s">
        <v>134</v>
      </c>
      <c r="K15" s="77" t="s">
        <v>135</v>
      </c>
    </row>
    <row r="16" customFormat="false" ht="15" hidden="false" customHeight="false" outlineLevel="0" collapsed="false">
      <c r="A16" s="75" t="s">
        <v>83</v>
      </c>
      <c r="B16" s="75" t="s">
        <v>329</v>
      </c>
      <c r="C16" s="75" t="s">
        <v>41</v>
      </c>
      <c r="D16" s="75" t="s">
        <v>241</v>
      </c>
      <c r="E16" s="75" t="s">
        <v>132</v>
      </c>
      <c r="F16" s="79" t="n">
        <v>50</v>
      </c>
      <c r="G16" s="80" t="n">
        <v>12445</v>
      </c>
      <c r="H16" s="75" t="s">
        <v>133</v>
      </c>
      <c r="I16" s="76" t="n">
        <v>44846</v>
      </c>
      <c r="J16" s="75" t="s">
        <v>134</v>
      </c>
      <c r="K16" s="75" t="s">
        <v>135</v>
      </c>
    </row>
    <row r="17" customFormat="false" ht="15" hidden="false" customHeight="false" outlineLevel="0" collapsed="false">
      <c r="A17" s="77" t="s">
        <v>330</v>
      </c>
      <c r="B17" s="77" t="s">
        <v>331</v>
      </c>
      <c r="C17" s="77" t="s">
        <v>45</v>
      </c>
      <c r="D17" s="77" t="s">
        <v>166</v>
      </c>
      <c r="E17" s="77" t="s">
        <v>152</v>
      </c>
      <c r="F17" s="81" t="n">
        <v>75</v>
      </c>
      <c r="G17" s="82" t="n">
        <v>17662</v>
      </c>
      <c r="H17" s="77" t="s">
        <v>153</v>
      </c>
      <c r="I17" s="78" t="n">
        <v>45166</v>
      </c>
      <c r="J17" s="77" t="s">
        <v>134</v>
      </c>
      <c r="K17" s="77" t="s">
        <v>135</v>
      </c>
    </row>
    <row r="18" customFormat="false" ht="15" hidden="false" customHeight="false" outlineLevel="0" collapsed="false">
      <c r="A18" s="75" t="s">
        <v>332</v>
      </c>
      <c r="B18" s="75" t="s">
        <v>333</v>
      </c>
      <c r="C18" s="75" t="s">
        <v>33</v>
      </c>
      <c r="D18" s="75" t="s">
        <v>334</v>
      </c>
      <c r="E18" s="75" t="s">
        <v>176</v>
      </c>
      <c r="F18" s="79" t="n">
        <v>75</v>
      </c>
      <c r="G18" s="80" t="n">
        <v>13017</v>
      </c>
      <c r="H18" s="75" t="s">
        <v>177</v>
      </c>
      <c r="I18" s="76" t="n">
        <v>45884</v>
      </c>
      <c r="J18" s="75" t="s">
        <v>134</v>
      </c>
      <c r="K18" s="75" t="s">
        <v>135</v>
      </c>
    </row>
    <row r="19" customFormat="false" ht="15" hidden="false" customHeight="false" outlineLevel="0" collapsed="false">
      <c r="A19" s="77" t="s">
        <v>335</v>
      </c>
      <c r="B19" s="77" t="s">
        <v>336</v>
      </c>
      <c r="C19" s="77" t="s">
        <v>37</v>
      </c>
      <c r="D19" s="77" t="s">
        <v>238</v>
      </c>
      <c r="E19" s="77" t="s">
        <v>157</v>
      </c>
      <c r="F19" s="81" t="n">
        <v>75</v>
      </c>
      <c r="G19" s="82" t="n">
        <v>23643</v>
      </c>
      <c r="H19" s="77" t="s">
        <v>158</v>
      </c>
      <c r="I19" s="78" t="n">
        <v>44731</v>
      </c>
      <c r="J19" s="77" t="s">
        <v>134</v>
      </c>
      <c r="K19" s="77" t="s">
        <v>135</v>
      </c>
    </row>
    <row r="20" customFormat="false" ht="15" hidden="false" customHeight="false" outlineLevel="0" collapsed="false">
      <c r="A20" s="75" t="s">
        <v>85</v>
      </c>
      <c r="B20" s="75" t="s">
        <v>337</v>
      </c>
      <c r="C20" s="75" t="s">
        <v>45</v>
      </c>
      <c r="D20" s="75" t="s">
        <v>151</v>
      </c>
      <c r="E20" s="75" t="s">
        <v>152</v>
      </c>
      <c r="F20" s="79" t="n">
        <v>100</v>
      </c>
      <c r="G20" s="80" t="n">
        <v>9909</v>
      </c>
      <c r="H20" s="75" t="s">
        <v>153</v>
      </c>
      <c r="I20" s="76" t="n">
        <v>45621</v>
      </c>
      <c r="J20" s="75" t="s">
        <v>134</v>
      </c>
      <c r="K20" s="75" t="s">
        <v>135</v>
      </c>
    </row>
    <row r="21" customFormat="false" ht="15.75" hidden="false" customHeight="true" outlineLevel="0" collapsed="false">
      <c r="A21" s="77" t="s">
        <v>61</v>
      </c>
      <c r="B21" s="77" t="s">
        <v>338</v>
      </c>
      <c r="C21" s="77" t="s">
        <v>33</v>
      </c>
      <c r="D21" s="77" t="s">
        <v>334</v>
      </c>
      <c r="E21" s="77" t="s">
        <v>176</v>
      </c>
      <c r="F21" s="81" t="n">
        <v>100</v>
      </c>
      <c r="G21" s="82" t="n">
        <v>22231</v>
      </c>
      <c r="H21" s="77" t="s">
        <v>177</v>
      </c>
      <c r="I21" s="78" t="n">
        <v>46034</v>
      </c>
      <c r="J21" s="77" t="s">
        <v>203</v>
      </c>
      <c r="K21" s="77" t="s">
        <v>135</v>
      </c>
    </row>
    <row r="22" customFormat="false" ht="15.75" hidden="false" customHeight="true" outlineLevel="0" collapsed="false">
      <c r="A22" s="75" t="s">
        <v>63</v>
      </c>
      <c r="B22" s="75" t="s">
        <v>339</v>
      </c>
      <c r="C22" s="75" t="s">
        <v>45</v>
      </c>
      <c r="D22" s="75" t="s">
        <v>205</v>
      </c>
      <c r="E22" s="75" t="s">
        <v>152</v>
      </c>
      <c r="F22" s="79" t="n">
        <v>75</v>
      </c>
      <c r="G22" s="80" t="n">
        <v>25890</v>
      </c>
      <c r="H22" s="75" t="s">
        <v>153</v>
      </c>
      <c r="I22" s="76" t="n">
        <v>46093</v>
      </c>
      <c r="J22" s="75" t="s">
        <v>203</v>
      </c>
      <c r="K22" s="75" t="s">
        <v>135</v>
      </c>
    </row>
    <row r="23" customFormat="false" ht="15.75" hidden="false" customHeight="true" outlineLevel="0" collapsed="false">
      <c r="A23" s="77" t="s">
        <v>340</v>
      </c>
      <c r="B23" s="77" t="s">
        <v>341</v>
      </c>
      <c r="C23" s="77" t="s">
        <v>46</v>
      </c>
      <c r="D23" s="77" t="s">
        <v>265</v>
      </c>
      <c r="E23" s="77" t="s">
        <v>147</v>
      </c>
      <c r="F23" s="81" t="n">
        <v>50</v>
      </c>
      <c r="G23" s="82" t="n">
        <v>26665</v>
      </c>
      <c r="H23" s="77" t="s">
        <v>148</v>
      </c>
      <c r="I23" s="78" t="n">
        <v>45805</v>
      </c>
      <c r="J23" s="77" t="s">
        <v>134</v>
      </c>
      <c r="K23" s="77" t="s">
        <v>135</v>
      </c>
    </row>
    <row r="24" customFormat="false" ht="15.75" hidden="false" customHeight="true" outlineLevel="0" collapsed="false">
      <c r="A24" s="75" t="s">
        <v>342</v>
      </c>
      <c r="B24" s="75" t="s">
        <v>343</v>
      </c>
      <c r="C24" s="75" t="s">
        <v>39</v>
      </c>
      <c r="D24" s="75" t="s">
        <v>169</v>
      </c>
      <c r="E24" s="75" t="s">
        <v>139</v>
      </c>
      <c r="F24" s="79" t="n">
        <v>75</v>
      </c>
      <c r="G24" s="80" t="n">
        <v>28142</v>
      </c>
      <c r="H24" s="75" t="s">
        <v>140</v>
      </c>
      <c r="I24" s="76" t="n">
        <v>45128</v>
      </c>
      <c r="J24" s="75" t="s">
        <v>134</v>
      </c>
      <c r="K24" s="75" t="s">
        <v>135</v>
      </c>
    </row>
    <row r="25" customFormat="false" ht="15.75" hidden="false" customHeight="true" outlineLevel="0" collapsed="false">
      <c r="A25" s="77" t="s">
        <v>344</v>
      </c>
      <c r="B25" s="77" t="s">
        <v>345</v>
      </c>
      <c r="C25" s="77" t="s">
        <v>39</v>
      </c>
      <c r="D25" s="77" t="s">
        <v>138</v>
      </c>
      <c r="E25" s="77" t="s">
        <v>139</v>
      </c>
      <c r="F25" s="81" t="n">
        <v>75</v>
      </c>
      <c r="G25" s="82" t="n">
        <v>18801</v>
      </c>
      <c r="H25" s="77" t="s">
        <v>140</v>
      </c>
      <c r="I25" s="78" t="n">
        <v>45941</v>
      </c>
      <c r="J25" s="77" t="s">
        <v>134</v>
      </c>
      <c r="K25" s="77" t="s">
        <v>135</v>
      </c>
    </row>
    <row r="26" customFormat="false" ht="15.75" hidden="false" customHeight="true" outlineLevel="0" collapsed="false">
      <c r="A26" s="75" t="s">
        <v>346</v>
      </c>
      <c r="B26" s="75" t="s">
        <v>347</v>
      </c>
      <c r="C26" s="75" t="s">
        <v>33</v>
      </c>
      <c r="D26" s="75" t="s">
        <v>175</v>
      </c>
      <c r="E26" s="75" t="s">
        <v>176</v>
      </c>
      <c r="F26" s="79" t="n">
        <v>75</v>
      </c>
      <c r="G26" s="80" t="n">
        <v>6232</v>
      </c>
      <c r="H26" s="75" t="s">
        <v>177</v>
      </c>
      <c r="I26" s="76" t="n">
        <v>45430</v>
      </c>
      <c r="J26" s="75" t="s">
        <v>134</v>
      </c>
      <c r="K26" s="75" t="s">
        <v>135</v>
      </c>
    </row>
    <row r="27" customFormat="false" ht="15.75" hidden="false" customHeight="true" outlineLevel="0" collapsed="false">
      <c r="A27" s="77" t="s">
        <v>348</v>
      </c>
      <c r="B27" s="77" t="s">
        <v>349</v>
      </c>
      <c r="C27" s="77" t="s">
        <v>35</v>
      </c>
      <c r="D27" s="77" t="s">
        <v>245</v>
      </c>
      <c r="E27" s="77" t="s">
        <v>181</v>
      </c>
      <c r="F27" s="81" t="n">
        <v>75</v>
      </c>
      <c r="G27" s="82" t="n">
        <v>21886</v>
      </c>
      <c r="H27" s="77" t="s">
        <v>182</v>
      </c>
      <c r="I27" s="78" t="n">
        <v>45589</v>
      </c>
      <c r="J27" s="77" t="s">
        <v>134</v>
      </c>
      <c r="K27" s="77" t="s">
        <v>135</v>
      </c>
    </row>
    <row r="28" customFormat="false" ht="15.75" hidden="false" customHeight="true" outlineLevel="0" collapsed="false">
      <c r="A28" s="75" t="s">
        <v>350</v>
      </c>
      <c r="B28" s="75" t="s">
        <v>351</v>
      </c>
      <c r="C28" s="75" t="s">
        <v>39</v>
      </c>
      <c r="D28" s="75" t="s">
        <v>169</v>
      </c>
      <c r="E28" s="75" t="s">
        <v>139</v>
      </c>
      <c r="F28" s="79" t="n">
        <v>50</v>
      </c>
      <c r="G28" s="80" t="n">
        <v>9091</v>
      </c>
      <c r="H28" s="75" t="s">
        <v>140</v>
      </c>
      <c r="I28" s="76" t="n">
        <v>45727</v>
      </c>
      <c r="J28" s="75" t="s">
        <v>134</v>
      </c>
      <c r="K28" s="75" t="s">
        <v>135</v>
      </c>
    </row>
    <row r="29" customFormat="false" ht="15.75" hidden="false" customHeight="true" outlineLevel="0" collapsed="false">
      <c r="A29" s="77" t="s">
        <v>352</v>
      </c>
      <c r="B29" s="77" t="s">
        <v>353</v>
      </c>
      <c r="C29" s="77" t="s">
        <v>44</v>
      </c>
      <c r="D29" s="77" t="s">
        <v>220</v>
      </c>
      <c r="E29" s="77" t="s">
        <v>162</v>
      </c>
      <c r="F29" s="81" t="n">
        <v>100</v>
      </c>
      <c r="G29" s="82" t="n">
        <v>28705</v>
      </c>
      <c r="H29" s="77" t="s">
        <v>163</v>
      </c>
      <c r="I29" s="78" t="n">
        <v>44704</v>
      </c>
      <c r="J29" s="77" t="s">
        <v>134</v>
      </c>
      <c r="K29" s="77" t="s">
        <v>135</v>
      </c>
    </row>
    <row r="30" customFormat="false" ht="15.75" hidden="false" customHeight="true" outlineLevel="0" collapsed="false">
      <c r="A30" s="75" t="s">
        <v>354</v>
      </c>
      <c r="B30" s="75" t="s">
        <v>355</v>
      </c>
      <c r="C30" s="75" t="s">
        <v>44</v>
      </c>
      <c r="D30" s="75" t="s">
        <v>220</v>
      </c>
      <c r="E30" s="75" t="s">
        <v>162</v>
      </c>
      <c r="F30" s="79" t="n">
        <v>75</v>
      </c>
      <c r="G30" s="80" t="n">
        <v>15921</v>
      </c>
      <c r="H30" s="75" t="s">
        <v>163</v>
      </c>
      <c r="I30" s="76" t="n">
        <v>45516</v>
      </c>
      <c r="J30" s="75" t="s">
        <v>134</v>
      </c>
      <c r="K30" s="75" t="s">
        <v>135</v>
      </c>
    </row>
    <row r="31" customFormat="false" ht="15.75" hidden="false" customHeight="true" outlineLevel="0" collapsed="false">
      <c r="A31" s="77" t="s">
        <v>356</v>
      </c>
      <c r="B31" s="77" t="s">
        <v>357</v>
      </c>
      <c r="C31" s="77" t="s">
        <v>39</v>
      </c>
      <c r="D31" s="77" t="s">
        <v>257</v>
      </c>
      <c r="E31" s="77" t="s">
        <v>139</v>
      </c>
      <c r="F31" s="81" t="n">
        <v>100</v>
      </c>
      <c r="G31" s="82" t="n">
        <v>32592</v>
      </c>
      <c r="H31" s="77" t="s">
        <v>140</v>
      </c>
      <c r="I31" s="78" t="n">
        <v>45149</v>
      </c>
      <c r="J31" s="77" t="s">
        <v>134</v>
      </c>
      <c r="K31" s="77" t="s">
        <v>135</v>
      </c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E50"/>
    <pageSetUpPr fitToPage="false"/>
  </sheetPr>
  <dimension ref="A1:AB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20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16"/>
    <col collapsed="false" customWidth="true" hidden="false" outlineLevel="0" max="17" min="17" style="0" width="20"/>
    <col collapsed="false" customWidth="true" hidden="false" outlineLevel="0" max="18" min="18" style="0" width="16"/>
    <col collapsed="false" customWidth="true" hidden="false" outlineLevel="0" max="19" min="19" style="0" width="20"/>
    <col collapsed="false" customWidth="true" hidden="false" outlineLevel="0" max="20" min="20" style="0" width="16"/>
    <col collapsed="false" customWidth="true" hidden="false" outlineLevel="0" max="21" min="21" style="0" width="20"/>
    <col collapsed="false" customWidth="true" hidden="false" outlineLevel="0" max="22" min="22" style="0" width="16"/>
    <col collapsed="false" customWidth="true" hidden="false" outlineLevel="0" max="23" min="23" style="0" width="20"/>
    <col collapsed="false" customWidth="true" hidden="false" outlineLevel="0" max="24" min="24" style="0" width="16"/>
    <col collapsed="false" customWidth="true" hidden="false" outlineLevel="0" max="25" min="25" style="0" width="20"/>
    <col collapsed="false" customWidth="true" hidden="false" outlineLevel="0" max="26" min="26" style="0" width="16"/>
    <col collapsed="false" customWidth="true" hidden="false" outlineLevel="0" max="27" min="27" style="0" width="20"/>
    <col collapsed="false" customWidth="true" hidden="false" outlineLevel="0" max="28" min="28" style="0" width="16"/>
  </cols>
  <sheetData>
    <row r="1" customFormat="false" ht="18" hidden="false" customHeight="true" outlineLevel="0" collapsed="false">
      <c r="A1" s="83" t="s">
        <v>121</v>
      </c>
      <c r="B1" s="83" t="s">
        <v>122</v>
      </c>
      <c r="C1" s="83" t="s">
        <v>123</v>
      </c>
      <c r="D1" s="83" t="s">
        <v>358</v>
      </c>
      <c r="E1" s="74" t="s">
        <v>359</v>
      </c>
      <c r="F1" s="74"/>
      <c r="G1" s="74" t="s">
        <v>360</v>
      </c>
      <c r="H1" s="74"/>
      <c r="I1" s="74" t="s">
        <v>361</v>
      </c>
      <c r="J1" s="74"/>
      <c r="K1" s="74" t="s">
        <v>362</v>
      </c>
      <c r="L1" s="74"/>
      <c r="M1" s="74" t="s">
        <v>363</v>
      </c>
      <c r="N1" s="74"/>
      <c r="O1" s="74" t="s">
        <v>364</v>
      </c>
      <c r="P1" s="74"/>
      <c r="Q1" s="74" t="s">
        <v>365</v>
      </c>
      <c r="R1" s="74"/>
      <c r="S1" s="74" t="s">
        <v>366</v>
      </c>
      <c r="T1" s="74"/>
      <c r="U1" s="74" t="s">
        <v>367</v>
      </c>
      <c r="V1" s="74"/>
      <c r="W1" s="74" t="s">
        <v>368</v>
      </c>
      <c r="X1" s="74"/>
      <c r="Y1" s="74" t="s">
        <v>369</v>
      </c>
      <c r="Z1" s="74"/>
      <c r="AA1" s="74" t="s">
        <v>370</v>
      </c>
      <c r="AB1" s="74"/>
    </row>
    <row r="2" customFormat="false" ht="18" hidden="false" customHeight="true" outlineLevel="0" collapsed="false">
      <c r="A2" s="84" t="s">
        <v>121</v>
      </c>
      <c r="B2" s="84" t="s">
        <v>122</v>
      </c>
      <c r="C2" s="84" t="s">
        <v>123</v>
      </c>
      <c r="D2" s="84" t="s">
        <v>358</v>
      </c>
      <c r="E2" s="85" t="s">
        <v>371</v>
      </c>
      <c r="F2" s="85" t="s">
        <v>372</v>
      </c>
      <c r="G2" s="85" t="s">
        <v>371</v>
      </c>
      <c r="H2" s="85" t="s">
        <v>372</v>
      </c>
      <c r="I2" s="85" t="s">
        <v>371</v>
      </c>
      <c r="J2" s="85" t="s">
        <v>372</v>
      </c>
      <c r="K2" s="85" t="s">
        <v>371</v>
      </c>
      <c r="L2" s="85" t="s">
        <v>372</v>
      </c>
      <c r="M2" s="85" t="s">
        <v>371</v>
      </c>
      <c r="N2" s="85" t="s">
        <v>372</v>
      </c>
      <c r="O2" s="85" t="s">
        <v>371</v>
      </c>
      <c r="P2" s="85" t="s">
        <v>372</v>
      </c>
      <c r="Q2" s="85" t="s">
        <v>371</v>
      </c>
      <c r="R2" s="85" t="s">
        <v>372</v>
      </c>
      <c r="S2" s="85" t="s">
        <v>371</v>
      </c>
      <c r="T2" s="85" t="s">
        <v>372</v>
      </c>
      <c r="U2" s="85" t="s">
        <v>371</v>
      </c>
      <c r="V2" s="85" t="s">
        <v>372</v>
      </c>
      <c r="W2" s="85" t="s">
        <v>371</v>
      </c>
      <c r="X2" s="85" t="s">
        <v>372</v>
      </c>
      <c r="Y2" s="85" t="s">
        <v>371</v>
      </c>
      <c r="Z2" s="85" t="s">
        <v>372</v>
      </c>
      <c r="AA2" s="85" t="s">
        <v>371</v>
      </c>
      <c r="AB2" s="85" t="s">
        <v>372</v>
      </c>
    </row>
    <row r="3" customFormat="false" ht="15" hidden="false" customHeight="false" outlineLevel="0" collapsed="false">
      <c r="A3" s="77" t="s">
        <v>91</v>
      </c>
      <c r="B3" s="77" t="s">
        <v>130</v>
      </c>
      <c r="C3" s="77" t="s">
        <v>41</v>
      </c>
      <c r="D3" s="77" t="s">
        <v>56</v>
      </c>
      <c r="E3" s="77" t="s">
        <v>373</v>
      </c>
      <c r="F3" s="81" t="n">
        <v>100</v>
      </c>
      <c r="G3" s="77" t="s">
        <v>374</v>
      </c>
      <c r="H3" s="81" t="n">
        <v>75</v>
      </c>
      <c r="I3" s="77" t="s">
        <v>373</v>
      </c>
      <c r="J3" s="81" t="n">
        <v>100</v>
      </c>
      <c r="K3" s="77" t="s">
        <v>375</v>
      </c>
      <c r="L3" s="81" t="n">
        <v>75</v>
      </c>
      <c r="M3" s="77" t="s">
        <v>375</v>
      </c>
      <c r="N3" s="81" t="n">
        <v>50</v>
      </c>
      <c r="O3" s="77" t="s">
        <v>376</v>
      </c>
      <c r="P3" s="81" t="n">
        <v>50</v>
      </c>
      <c r="Q3" s="77" t="s">
        <v>373</v>
      </c>
      <c r="R3" s="81" t="n">
        <v>25</v>
      </c>
      <c r="S3" s="77" t="s">
        <v>374</v>
      </c>
      <c r="T3" s="81" t="n">
        <v>50</v>
      </c>
      <c r="U3" s="77" t="s">
        <v>377</v>
      </c>
      <c r="V3" s="81" t="n">
        <v>50</v>
      </c>
      <c r="W3" s="77" t="s">
        <v>374</v>
      </c>
      <c r="X3" s="81" t="n">
        <v>100</v>
      </c>
      <c r="Y3" s="77" t="s">
        <v>375</v>
      </c>
      <c r="Z3" s="81" t="n">
        <v>75</v>
      </c>
      <c r="AA3" s="77" t="s">
        <v>376</v>
      </c>
      <c r="AB3" s="81" t="n">
        <v>50</v>
      </c>
    </row>
    <row r="4" customFormat="false" ht="15" hidden="false" customHeight="false" outlineLevel="0" collapsed="false">
      <c r="A4" s="75" t="s">
        <v>136</v>
      </c>
      <c r="B4" s="75" t="s">
        <v>137</v>
      </c>
      <c r="C4" s="75" t="s">
        <v>39</v>
      </c>
      <c r="D4" s="75" t="s">
        <v>56</v>
      </c>
      <c r="E4" s="75" t="s">
        <v>375</v>
      </c>
      <c r="F4" s="79" t="n">
        <v>50</v>
      </c>
      <c r="G4" s="75" t="s">
        <v>373</v>
      </c>
      <c r="H4" s="79" t="n">
        <v>50</v>
      </c>
      <c r="I4" s="75" t="s">
        <v>375</v>
      </c>
      <c r="J4" s="79" t="n">
        <v>25</v>
      </c>
      <c r="K4" s="75" t="s">
        <v>374</v>
      </c>
      <c r="L4" s="79" t="n">
        <v>50</v>
      </c>
      <c r="M4" s="75" t="s">
        <v>375</v>
      </c>
      <c r="N4" s="79" t="n">
        <v>25</v>
      </c>
      <c r="O4" s="75" t="s">
        <v>378</v>
      </c>
      <c r="P4" s="79" t="n">
        <v>75</v>
      </c>
      <c r="Q4" s="75" t="s">
        <v>374</v>
      </c>
      <c r="R4" s="79" t="n">
        <v>50</v>
      </c>
      <c r="S4" s="75" t="s">
        <v>379</v>
      </c>
      <c r="T4" s="79" t="n">
        <v>100</v>
      </c>
      <c r="U4" s="75" t="s">
        <v>376</v>
      </c>
      <c r="V4" s="79" t="n">
        <v>25</v>
      </c>
      <c r="W4" s="75" t="s">
        <v>380</v>
      </c>
      <c r="X4" s="79" t="n">
        <v>75</v>
      </c>
      <c r="Y4" s="75" t="s">
        <v>381</v>
      </c>
      <c r="Z4" s="79" t="n">
        <v>100</v>
      </c>
      <c r="AA4" s="75" t="s">
        <v>381</v>
      </c>
      <c r="AB4" s="79" t="n">
        <v>75</v>
      </c>
    </row>
    <row r="5" customFormat="false" ht="15" hidden="false" customHeight="false" outlineLevel="0" collapsed="false">
      <c r="A5" s="77" t="s">
        <v>141</v>
      </c>
      <c r="B5" s="77" t="s">
        <v>142</v>
      </c>
      <c r="C5" s="77" t="s">
        <v>41</v>
      </c>
      <c r="D5" s="77" t="s">
        <v>56</v>
      </c>
      <c r="E5" s="77" t="s">
        <v>382</v>
      </c>
      <c r="F5" s="81" t="n">
        <v>25</v>
      </c>
      <c r="G5" s="77" t="s">
        <v>375</v>
      </c>
      <c r="H5" s="81" t="n">
        <v>100</v>
      </c>
      <c r="I5" s="77" t="s">
        <v>376</v>
      </c>
      <c r="J5" s="81" t="n">
        <v>25</v>
      </c>
      <c r="K5" s="77" t="s">
        <v>383</v>
      </c>
      <c r="L5" s="81" t="n">
        <v>100</v>
      </c>
      <c r="M5" s="77" t="s">
        <v>376</v>
      </c>
      <c r="N5" s="81" t="n">
        <v>25</v>
      </c>
      <c r="O5" s="77" t="s">
        <v>382</v>
      </c>
      <c r="P5" s="81" t="n">
        <v>50</v>
      </c>
      <c r="Q5" s="77" t="s">
        <v>384</v>
      </c>
      <c r="R5" s="81" t="n">
        <v>75</v>
      </c>
      <c r="S5" s="77" t="s">
        <v>376</v>
      </c>
      <c r="T5" s="81" t="n">
        <v>50</v>
      </c>
      <c r="U5" s="77" t="s">
        <v>376</v>
      </c>
      <c r="V5" s="81" t="n">
        <v>100</v>
      </c>
      <c r="W5" s="77" t="s">
        <v>380</v>
      </c>
      <c r="X5" s="81" t="n">
        <v>50</v>
      </c>
      <c r="Y5" s="77" t="s">
        <v>384</v>
      </c>
      <c r="Z5" s="81" t="n">
        <v>100</v>
      </c>
      <c r="AA5" s="77" t="s">
        <v>381</v>
      </c>
      <c r="AB5" s="81" t="n">
        <v>100</v>
      </c>
    </row>
    <row r="6" customFormat="false" ht="15" hidden="false" customHeight="false" outlineLevel="0" collapsed="false">
      <c r="A6" s="75" t="s">
        <v>144</v>
      </c>
      <c r="B6" s="75" t="s">
        <v>145</v>
      </c>
      <c r="C6" s="75" t="s">
        <v>46</v>
      </c>
      <c r="D6" s="75" t="s">
        <v>56</v>
      </c>
      <c r="E6" s="75" t="s">
        <v>375</v>
      </c>
      <c r="F6" s="79" t="n">
        <v>100</v>
      </c>
      <c r="G6" s="75" t="s">
        <v>375</v>
      </c>
      <c r="H6" s="79" t="n">
        <v>25</v>
      </c>
      <c r="I6" s="75" t="s">
        <v>380</v>
      </c>
      <c r="J6" s="79" t="n">
        <v>25</v>
      </c>
      <c r="K6" s="75" t="s">
        <v>384</v>
      </c>
      <c r="L6" s="79" t="n">
        <v>50</v>
      </c>
      <c r="M6" s="75" t="s">
        <v>379</v>
      </c>
      <c r="N6" s="79" t="n">
        <v>50</v>
      </c>
      <c r="O6" s="75" t="s">
        <v>375</v>
      </c>
      <c r="P6" s="79" t="n">
        <v>25</v>
      </c>
      <c r="Q6" s="75" t="s">
        <v>382</v>
      </c>
      <c r="R6" s="79" t="n">
        <v>50</v>
      </c>
      <c r="S6" s="75" t="s">
        <v>382</v>
      </c>
      <c r="T6" s="79" t="n">
        <v>25</v>
      </c>
      <c r="U6" s="75" t="s">
        <v>382</v>
      </c>
      <c r="V6" s="79" t="n">
        <v>25</v>
      </c>
      <c r="W6" s="75" t="s">
        <v>383</v>
      </c>
      <c r="X6" s="79" t="n">
        <v>100</v>
      </c>
      <c r="Y6" s="75" t="s">
        <v>374</v>
      </c>
      <c r="Z6" s="79" t="n">
        <v>100</v>
      </c>
      <c r="AA6" s="75" t="s">
        <v>375</v>
      </c>
      <c r="AB6" s="79" t="n">
        <v>25</v>
      </c>
    </row>
    <row r="7" customFormat="false" ht="15" hidden="false" customHeight="false" outlineLevel="0" collapsed="false">
      <c r="A7" s="77" t="s">
        <v>149</v>
      </c>
      <c r="B7" s="77" t="s">
        <v>150</v>
      </c>
      <c r="C7" s="77" t="s">
        <v>45</v>
      </c>
      <c r="D7" s="77" t="s">
        <v>56</v>
      </c>
      <c r="E7" s="77" t="s">
        <v>377</v>
      </c>
      <c r="F7" s="81" t="n">
        <v>75</v>
      </c>
      <c r="G7" s="77" t="s">
        <v>374</v>
      </c>
      <c r="H7" s="81" t="n">
        <v>75</v>
      </c>
      <c r="I7" s="77" t="s">
        <v>374</v>
      </c>
      <c r="J7" s="81" t="n">
        <v>100</v>
      </c>
      <c r="K7" s="77" t="s">
        <v>376</v>
      </c>
      <c r="L7" s="81" t="n">
        <v>50</v>
      </c>
      <c r="M7" s="77" t="s">
        <v>375</v>
      </c>
      <c r="N7" s="81" t="n">
        <v>50</v>
      </c>
      <c r="O7" s="77" t="s">
        <v>383</v>
      </c>
      <c r="P7" s="81" t="n">
        <v>25</v>
      </c>
      <c r="Q7" s="77" t="s">
        <v>385</v>
      </c>
      <c r="R7" s="81" t="n">
        <v>50</v>
      </c>
      <c r="S7" s="77" t="s">
        <v>379</v>
      </c>
      <c r="T7" s="81" t="n">
        <v>50</v>
      </c>
      <c r="U7" s="77" t="s">
        <v>375</v>
      </c>
      <c r="V7" s="81" t="n">
        <v>50</v>
      </c>
      <c r="W7" s="77" t="s">
        <v>376</v>
      </c>
      <c r="X7" s="81" t="n">
        <v>25</v>
      </c>
      <c r="Y7" s="77" t="s">
        <v>382</v>
      </c>
      <c r="Z7" s="81" t="n">
        <v>75</v>
      </c>
      <c r="AA7" s="77" t="s">
        <v>380</v>
      </c>
      <c r="AB7" s="81" t="n">
        <v>75</v>
      </c>
    </row>
    <row r="8" customFormat="false" ht="15" hidden="false" customHeight="false" outlineLevel="0" collapsed="false">
      <c r="A8" s="75" t="s">
        <v>154</v>
      </c>
      <c r="B8" s="75" t="s">
        <v>155</v>
      </c>
      <c r="C8" s="75" t="s">
        <v>37</v>
      </c>
      <c r="D8" s="75" t="s">
        <v>56</v>
      </c>
      <c r="E8" s="75" t="s">
        <v>381</v>
      </c>
      <c r="F8" s="79" t="n">
        <v>25</v>
      </c>
      <c r="G8" s="75" t="s">
        <v>381</v>
      </c>
      <c r="H8" s="79" t="n">
        <v>75</v>
      </c>
      <c r="I8" s="75" t="s">
        <v>374</v>
      </c>
      <c r="J8" s="79" t="n">
        <v>100</v>
      </c>
      <c r="K8" s="75" t="s">
        <v>375</v>
      </c>
      <c r="L8" s="79" t="n">
        <v>100</v>
      </c>
      <c r="M8" s="75" t="s">
        <v>381</v>
      </c>
      <c r="N8" s="79" t="n">
        <v>25</v>
      </c>
      <c r="O8" s="75" t="s">
        <v>380</v>
      </c>
      <c r="P8" s="79" t="n">
        <v>25</v>
      </c>
      <c r="Q8" s="75" t="s">
        <v>383</v>
      </c>
      <c r="R8" s="79" t="n">
        <v>75</v>
      </c>
      <c r="S8" s="75" t="s">
        <v>380</v>
      </c>
      <c r="T8" s="79" t="n">
        <v>75</v>
      </c>
      <c r="U8" s="75" t="s">
        <v>378</v>
      </c>
      <c r="V8" s="79" t="n">
        <v>25</v>
      </c>
      <c r="W8" s="75" t="s">
        <v>377</v>
      </c>
      <c r="X8" s="79" t="n">
        <v>25</v>
      </c>
      <c r="Y8" s="75" t="s">
        <v>384</v>
      </c>
      <c r="Z8" s="79" t="n">
        <v>75</v>
      </c>
      <c r="AA8" s="75" t="s">
        <v>380</v>
      </c>
      <c r="AB8" s="79" t="n">
        <v>25</v>
      </c>
    </row>
    <row r="9" customFormat="false" ht="15" hidden="false" customHeight="false" outlineLevel="0" collapsed="false">
      <c r="A9" s="77" t="s">
        <v>159</v>
      </c>
      <c r="B9" s="77" t="s">
        <v>160</v>
      </c>
      <c r="C9" s="77" t="s">
        <v>44</v>
      </c>
      <c r="D9" s="77" t="s">
        <v>56</v>
      </c>
      <c r="E9" s="77" t="s">
        <v>384</v>
      </c>
      <c r="F9" s="81" t="n">
        <v>50</v>
      </c>
      <c r="G9" s="77" t="s">
        <v>381</v>
      </c>
      <c r="H9" s="81" t="n">
        <v>100</v>
      </c>
      <c r="I9" s="77" t="s">
        <v>375</v>
      </c>
      <c r="J9" s="81" t="n">
        <v>50</v>
      </c>
      <c r="K9" s="77" t="s">
        <v>380</v>
      </c>
      <c r="L9" s="81" t="n">
        <v>100</v>
      </c>
      <c r="M9" s="77" t="s">
        <v>379</v>
      </c>
      <c r="N9" s="81" t="n">
        <v>100</v>
      </c>
      <c r="O9" s="77" t="s">
        <v>376</v>
      </c>
      <c r="P9" s="81" t="n">
        <v>100</v>
      </c>
      <c r="Q9" s="77" t="s">
        <v>373</v>
      </c>
      <c r="R9" s="81" t="n">
        <v>100</v>
      </c>
      <c r="S9" s="77" t="s">
        <v>373</v>
      </c>
      <c r="T9" s="81" t="n">
        <v>75</v>
      </c>
      <c r="U9" s="77" t="s">
        <v>379</v>
      </c>
      <c r="V9" s="81" t="n">
        <v>25</v>
      </c>
      <c r="W9" s="77" t="s">
        <v>382</v>
      </c>
      <c r="X9" s="81" t="n">
        <v>75</v>
      </c>
      <c r="Y9" s="77" t="s">
        <v>383</v>
      </c>
      <c r="Z9" s="81" t="n">
        <v>100</v>
      </c>
      <c r="AA9" s="77" t="s">
        <v>375</v>
      </c>
      <c r="AB9" s="81" t="n">
        <v>100</v>
      </c>
    </row>
    <row r="10" customFormat="false" ht="15" hidden="false" customHeight="false" outlineLevel="0" collapsed="false">
      <c r="A10" s="75" t="s">
        <v>164</v>
      </c>
      <c r="B10" s="75" t="s">
        <v>165</v>
      </c>
      <c r="C10" s="75" t="s">
        <v>45</v>
      </c>
      <c r="D10" s="75" t="s">
        <v>56</v>
      </c>
      <c r="E10" s="75" t="s">
        <v>384</v>
      </c>
      <c r="F10" s="79" t="n">
        <v>25</v>
      </c>
      <c r="G10" s="75" t="s">
        <v>381</v>
      </c>
      <c r="H10" s="79" t="n">
        <v>25</v>
      </c>
      <c r="I10" s="75" t="s">
        <v>373</v>
      </c>
      <c r="J10" s="79" t="n">
        <v>75</v>
      </c>
      <c r="K10" s="75" t="s">
        <v>373</v>
      </c>
      <c r="L10" s="79" t="n">
        <v>25</v>
      </c>
      <c r="M10" s="75" t="s">
        <v>384</v>
      </c>
      <c r="N10" s="79" t="n">
        <v>100</v>
      </c>
      <c r="O10" s="75" t="s">
        <v>385</v>
      </c>
      <c r="P10" s="79" t="n">
        <v>25</v>
      </c>
      <c r="Q10" s="75" t="s">
        <v>379</v>
      </c>
      <c r="R10" s="79" t="n">
        <v>100</v>
      </c>
      <c r="S10" s="75" t="s">
        <v>383</v>
      </c>
      <c r="T10" s="79" t="n">
        <v>25</v>
      </c>
      <c r="U10" s="75" t="s">
        <v>377</v>
      </c>
      <c r="V10" s="79" t="n">
        <v>75</v>
      </c>
      <c r="W10" s="75" t="s">
        <v>380</v>
      </c>
      <c r="X10" s="79" t="n">
        <v>100</v>
      </c>
      <c r="Y10" s="75" t="s">
        <v>379</v>
      </c>
      <c r="Z10" s="79" t="n">
        <v>100</v>
      </c>
      <c r="AA10" s="75" t="s">
        <v>384</v>
      </c>
      <c r="AB10" s="79" t="n">
        <v>25</v>
      </c>
    </row>
    <row r="11" customFormat="false" ht="15" hidden="false" customHeight="false" outlineLevel="0" collapsed="false">
      <c r="A11" s="77" t="s">
        <v>167</v>
      </c>
      <c r="B11" s="77" t="s">
        <v>168</v>
      </c>
      <c r="C11" s="77" t="s">
        <v>39</v>
      </c>
      <c r="D11" s="77" t="s">
        <v>56</v>
      </c>
      <c r="E11" s="77" t="s">
        <v>377</v>
      </c>
      <c r="F11" s="81" t="n">
        <v>75</v>
      </c>
      <c r="G11" s="77" t="s">
        <v>385</v>
      </c>
      <c r="H11" s="81" t="n">
        <v>50</v>
      </c>
      <c r="I11" s="77" t="s">
        <v>375</v>
      </c>
      <c r="J11" s="81" t="n">
        <v>100</v>
      </c>
      <c r="K11" s="77" t="s">
        <v>374</v>
      </c>
      <c r="L11" s="81" t="n">
        <v>100</v>
      </c>
      <c r="M11" s="77" t="s">
        <v>376</v>
      </c>
      <c r="N11" s="81" t="n">
        <v>25</v>
      </c>
      <c r="O11" s="77" t="s">
        <v>379</v>
      </c>
      <c r="P11" s="81" t="n">
        <v>50</v>
      </c>
      <c r="Q11" s="77" t="s">
        <v>374</v>
      </c>
      <c r="R11" s="81" t="n">
        <v>50</v>
      </c>
      <c r="S11" s="77" t="s">
        <v>375</v>
      </c>
      <c r="T11" s="81" t="n">
        <v>25</v>
      </c>
      <c r="U11" s="77" t="s">
        <v>385</v>
      </c>
      <c r="V11" s="81" t="n">
        <v>100</v>
      </c>
      <c r="W11" s="77" t="s">
        <v>376</v>
      </c>
      <c r="X11" s="81" t="n">
        <v>50</v>
      </c>
      <c r="Y11" s="77" t="s">
        <v>376</v>
      </c>
      <c r="Z11" s="81" t="n">
        <v>100</v>
      </c>
      <c r="AA11" s="77" t="s">
        <v>376</v>
      </c>
      <c r="AB11" s="81" t="n">
        <v>50</v>
      </c>
    </row>
    <row r="12" customFormat="false" ht="15" hidden="false" customHeight="false" outlineLevel="0" collapsed="false">
      <c r="A12" s="75" t="s">
        <v>170</v>
      </c>
      <c r="B12" s="75" t="s">
        <v>171</v>
      </c>
      <c r="C12" s="75" t="s">
        <v>37</v>
      </c>
      <c r="D12" s="75" t="s">
        <v>56</v>
      </c>
      <c r="E12" s="75" t="s">
        <v>381</v>
      </c>
      <c r="F12" s="79" t="n">
        <v>75</v>
      </c>
      <c r="G12" s="75" t="s">
        <v>385</v>
      </c>
      <c r="H12" s="79" t="n">
        <v>75</v>
      </c>
      <c r="I12" s="75" t="s">
        <v>383</v>
      </c>
      <c r="J12" s="79" t="n">
        <v>100</v>
      </c>
      <c r="K12" s="75" t="s">
        <v>381</v>
      </c>
      <c r="L12" s="79" t="n">
        <v>50</v>
      </c>
      <c r="M12" s="75" t="s">
        <v>381</v>
      </c>
      <c r="N12" s="79" t="n">
        <v>50</v>
      </c>
      <c r="O12" s="75" t="s">
        <v>383</v>
      </c>
      <c r="P12" s="79" t="n">
        <v>50</v>
      </c>
      <c r="Q12" s="75" t="s">
        <v>380</v>
      </c>
      <c r="R12" s="79" t="n">
        <v>50</v>
      </c>
      <c r="S12" s="75" t="s">
        <v>376</v>
      </c>
      <c r="T12" s="79" t="n">
        <v>75</v>
      </c>
      <c r="U12" s="75" t="s">
        <v>384</v>
      </c>
      <c r="V12" s="79" t="n">
        <v>100</v>
      </c>
      <c r="W12" s="75" t="s">
        <v>373</v>
      </c>
      <c r="X12" s="79" t="n">
        <v>75</v>
      </c>
      <c r="Y12" s="75" t="s">
        <v>378</v>
      </c>
      <c r="Z12" s="79" t="n">
        <v>75</v>
      </c>
      <c r="AA12" s="75" t="s">
        <v>374</v>
      </c>
      <c r="AB12" s="79" t="n">
        <v>75</v>
      </c>
    </row>
    <row r="13" customFormat="false" ht="15" hidden="false" customHeight="false" outlineLevel="0" collapsed="false">
      <c r="A13" s="77" t="s">
        <v>173</v>
      </c>
      <c r="B13" s="77" t="s">
        <v>174</v>
      </c>
      <c r="C13" s="77" t="s">
        <v>33</v>
      </c>
      <c r="D13" s="77" t="s">
        <v>56</v>
      </c>
      <c r="E13" s="77" t="s">
        <v>380</v>
      </c>
      <c r="F13" s="81" t="n">
        <v>100</v>
      </c>
      <c r="G13" s="77" t="s">
        <v>382</v>
      </c>
      <c r="H13" s="81" t="n">
        <v>100</v>
      </c>
      <c r="I13" s="77" t="s">
        <v>385</v>
      </c>
      <c r="J13" s="81" t="n">
        <v>100</v>
      </c>
      <c r="K13" s="77" t="s">
        <v>373</v>
      </c>
      <c r="L13" s="81" t="n">
        <v>75</v>
      </c>
      <c r="M13" s="77" t="s">
        <v>385</v>
      </c>
      <c r="N13" s="81" t="n">
        <v>100</v>
      </c>
      <c r="O13" s="77" t="s">
        <v>381</v>
      </c>
      <c r="P13" s="81" t="n">
        <v>75</v>
      </c>
      <c r="Q13" s="77" t="s">
        <v>377</v>
      </c>
      <c r="R13" s="81" t="n">
        <v>50</v>
      </c>
      <c r="S13" s="77" t="s">
        <v>380</v>
      </c>
      <c r="T13" s="81" t="n">
        <v>100</v>
      </c>
      <c r="U13" s="77" t="s">
        <v>377</v>
      </c>
      <c r="V13" s="81" t="n">
        <v>100</v>
      </c>
      <c r="W13" s="77" t="s">
        <v>378</v>
      </c>
      <c r="X13" s="81" t="n">
        <v>75</v>
      </c>
      <c r="Y13" s="77" t="s">
        <v>374</v>
      </c>
      <c r="Z13" s="81" t="n">
        <v>100</v>
      </c>
      <c r="AA13" s="77" t="s">
        <v>374</v>
      </c>
      <c r="AB13" s="81" t="n">
        <v>100</v>
      </c>
    </row>
    <row r="14" customFormat="false" ht="15" hidden="false" customHeight="false" outlineLevel="0" collapsed="false">
      <c r="A14" s="75" t="s">
        <v>178</v>
      </c>
      <c r="B14" s="75" t="s">
        <v>179</v>
      </c>
      <c r="C14" s="75" t="s">
        <v>35</v>
      </c>
      <c r="D14" s="75" t="s">
        <v>56</v>
      </c>
      <c r="E14" s="75" t="s">
        <v>383</v>
      </c>
      <c r="F14" s="79" t="n">
        <v>50</v>
      </c>
      <c r="G14" s="75" t="s">
        <v>381</v>
      </c>
      <c r="H14" s="79" t="n">
        <v>25</v>
      </c>
      <c r="I14" s="75" t="s">
        <v>382</v>
      </c>
      <c r="J14" s="79" t="n">
        <v>75</v>
      </c>
      <c r="K14" s="75" t="s">
        <v>376</v>
      </c>
      <c r="L14" s="79" t="n">
        <v>100</v>
      </c>
      <c r="M14" s="75" t="s">
        <v>376</v>
      </c>
      <c r="N14" s="79" t="n">
        <v>100</v>
      </c>
      <c r="O14" s="75" t="s">
        <v>378</v>
      </c>
      <c r="P14" s="79" t="n">
        <v>50</v>
      </c>
      <c r="Q14" s="75" t="s">
        <v>383</v>
      </c>
      <c r="R14" s="79" t="n">
        <v>50</v>
      </c>
      <c r="S14" s="75" t="s">
        <v>376</v>
      </c>
      <c r="T14" s="79" t="n">
        <v>100</v>
      </c>
      <c r="U14" s="75" t="s">
        <v>384</v>
      </c>
      <c r="V14" s="79" t="n">
        <v>75</v>
      </c>
      <c r="W14" s="75" t="s">
        <v>373</v>
      </c>
      <c r="X14" s="79" t="n">
        <v>100</v>
      </c>
      <c r="Y14" s="75" t="s">
        <v>379</v>
      </c>
      <c r="Z14" s="79" t="n">
        <v>25</v>
      </c>
      <c r="AA14" s="75" t="s">
        <v>373</v>
      </c>
      <c r="AB14" s="79" t="n">
        <v>100</v>
      </c>
    </row>
    <row r="15" customFormat="false" ht="15" hidden="false" customHeight="false" outlineLevel="0" collapsed="false">
      <c r="A15" s="77" t="s">
        <v>183</v>
      </c>
      <c r="B15" s="77" t="s">
        <v>184</v>
      </c>
      <c r="C15" s="77" t="s">
        <v>43</v>
      </c>
      <c r="D15" s="77" t="s">
        <v>56</v>
      </c>
      <c r="E15" s="77" t="s">
        <v>373</v>
      </c>
      <c r="F15" s="81" t="n">
        <v>100</v>
      </c>
      <c r="G15" s="77" t="s">
        <v>385</v>
      </c>
      <c r="H15" s="81" t="n">
        <v>25</v>
      </c>
      <c r="I15" s="77" t="s">
        <v>380</v>
      </c>
      <c r="J15" s="81" t="n">
        <v>25</v>
      </c>
      <c r="K15" s="77" t="s">
        <v>377</v>
      </c>
      <c r="L15" s="81" t="n">
        <v>75</v>
      </c>
      <c r="M15" s="77" t="s">
        <v>377</v>
      </c>
      <c r="N15" s="81" t="n">
        <v>25</v>
      </c>
      <c r="O15" s="77" t="s">
        <v>383</v>
      </c>
      <c r="P15" s="81" t="n">
        <v>25</v>
      </c>
      <c r="Q15" s="77" t="s">
        <v>384</v>
      </c>
      <c r="R15" s="81" t="n">
        <v>25</v>
      </c>
      <c r="S15" s="77" t="s">
        <v>381</v>
      </c>
      <c r="T15" s="81" t="n">
        <v>50</v>
      </c>
      <c r="U15" s="77" t="s">
        <v>374</v>
      </c>
      <c r="V15" s="81" t="n">
        <v>75</v>
      </c>
      <c r="W15" s="77" t="s">
        <v>378</v>
      </c>
      <c r="X15" s="81" t="n">
        <v>25</v>
      </c>
      <c r="Y15" s="77" t="s">
        <v>373</v>
      </c>
      <c r="Z15" s="81" t="n">
        <v>25</v>
      </c>
      <c r="AA15" s="77" t="s">
        <v>375</v>
      </c>
      <c r="AB15" s="81" t="n">
        <v>75</v>
      </c>
    </row>
    <row r="16" customFormat="false" ht="15" hidden="false" customHeight="false" outlineLevel="0" collapsed="false">
      <c r="A16" s="75" t="s">
        <v>188</v>
      </c>
      <c r="B16" s="75" t="s">
        <v>189</v>
      </c>
      <c r="C16" s="75" t="s">
        <v>45</v>
      </c>
      <c r="D16" s="75" t="s">
        <v>56</v>
      </c>
      <c r="E16" s="75" t="s">
        <v>373</v>
      </c>
      <c r="F16" s="79" t="n">
        <v>100</v>
      </c>
      <c r="G16" s="75" t="s">
        <v>382</v>
      </c>
      <c r="H16" s="79" t="n">
        <v>50</v>
      </c>
      <c r="I16" s="75" t="s">
        <v>385</v>
      </c>
      <c r="J16" s="79" t="n">
        <v>100</v>
      </c>
      <c r="K16" s="75" t="s">
        <v>380</v>
      </c>
      <c r="L16" s="79" t="n">
        <v>50</v>
      </c>
      <c r="M16" s="75" t="s">
        <v>382</v>
      </c>
      <c r="N16" s="79" t="n">
        <v>50</v>
      </c>
      <c r="O16" s="75" t="s">
        <v>376</v>
      </c>
      <c r="P16" s="79" t="n">
        <v>100</v>
      </c>
      <c r="Q16" s="75" t="s">
        <v>380</v>
      </c>
      <c r="R16" s="79" t="n">
        <v>50</v>
      </c>
      <c r="S16" s="75" t="s">
        <v>381</v>
      </c>
      <c r="T16" s="79" t="n">
        <v>50</v>
      </c>
      <c r="U16" s="75" t="s">
        <v>377</v>
      </c>
      <c r="V16" s="79" t="n">
        <v>100</v>
      </c>
      <c r="W16" s="75" t="s">
        <v>379</v>
      </c>
      <c r="X16" s="79" t="n">
        <v>75</v>
      </c>
      <c r="Y16" s="75" t="s">
        <v>381</v>
      </c>
      <c r="Z16" s="79" t="n">
        <v>75</v>
      </c>
      <c r="AA16" s="75" t="s">
        <v>379</v>
      </c>
      <c r="AB16" s="79" t="n">
        <v>25</v>
      </c>
    </row>
    <row r="17" customFormat="false" ht="15" hidden="false" customHeight="false" outlineLevel="0" collapsed="false">
      <c r="A17" s="77" t="s">
        <v>190</v>
      </c>
      <c r="B17" s="77" t="s">
        <v>191</v>
      </c>
      <c r="C17" s="77" t="s">
        <v>45</v>
      </c>
      <c r="D17" s="77" t="s">
        <v>56</v>
      </c>
      <c r="E17" s="77" t="s">
        <v>384</v>
      </c>
      <c r="F17" s="81" t="n">
        <v>100</v>
      </c>
      <c r="G17" s="77" t="s">
        <v>375</v>
      </c>
      <c r="H17" s="81" t="n">
        <v>50</v>
      </c>
      <c r="I17" s="77" t="s">
        <v>376</v>
      </c>
      <c r="J17" s="81" t="n">
        <v>100</v>
      </c>
      <c r="K17" s="77" t="s">
        <v>373</v>
      </c>
      <c r="L17" s="81" t="n">
        <v>75</v>
      </c>
      <c r="M17" s="77" t="s">
        <v>379</v>
      </c>
      <c r="N17" s="81" t="n">
        <v>100</v>
      </c>
      <c r="O17" s="77" t="s">
        <v>374</v>
      </c>
      <c r="P17" s="81" t="n">
        <v>75</v>
      </c>
      <c r="Q17" s="77" t="s">
        <v>381</v>
      </c>
      <c r="R17" s="81" t="n">
        <v>75</v>
      </c>
      <c r="S17" s="77" t="s">
        <v>377</v>
      </c>
      <c r="T17" s="81" t="n">
        <v>100</v>
      </c>
      <c r="U17" s="77" t="s">
        <v>381</v>
      </c>
      <c r="V17" s="81" t="n">
        <v>25</v>
      </c>
      <c r="W17" s="77" t="s">
        <v>377</v>
      </c>
      <c r="X17" s="81" t="n">
        <v>100</v>
      </c>
      <c r="Y17" s="77" t="s">
        <v>380</v>
      </c>
      <c r="Z17" s="81" t="n">
        <v>75</v>
      </c>
      <c r="AA17" s="77" t="s">
        <v>380</v>
      </c>
      <c r="AB17" s="81" t="n">
        <v>75</v>
      </c>
    </row>
    <row r="18" customFormat="false" ht="15" hidden="false" customHeight="false" outlineLevel="0" collapsed="false">
      <c r="A18" s="75" t="s">
        <v>192</v>
      </c>
      <c r="B18" s="75" t="s">
        <v>193</v>
      </c>
      <c r="C18" s="75" t="s">
        <v>45</v>
      </c>
      <c r="D18" s="75" t="s">
        <v>56</v>
      </c>
      <c r="E18" s="75" t="s">
        <v>374</v>
      </c>
      <c r="F18" s="79" t="n">
        <v>75</v>
      </c>
      <c r="G18" s="75" t="s">
        <v>378</v>
      </c>
      <c r="H18" s="79" t="n">
        <v>100</v>
      </c>
      <c r="I18" s="75" t="s">
        <v>375</v>
      </c>
      <c r="J18" s="79" t="n">
        <v>25</v>
      </c>
      <c r="K18" s="75" t="s">
        <v>380</v>
      </c>
      <c r="L18" s="79" t="n">
        <v>25</v>
      </c>
      <c r="M18" s="75" t="s">
        <v>380</v>
      </c>
      <c r="N18" s="79" t="n">
        <v>100</v>
      </c>
      <c r="O18" s="75" t="s">
        <v>375</v>
      </c>
      <c r="P18" s="79" t="n">
        <v>50</v>
      </c>
      <c r="Q18" s="75" t="s">
        <v>380</v>
      </c>
      <c r="R18" s="79" t="n">
        <v>75</v>
      </c>
      <c r="S18" s="75" t="s">
        <v>377</v>
      </c>
      <c r="T18" s="79" t="n">
        <v>50</v>
      </c>
      <c r="U18" s="75" t="s">
        <v>380</v>
      </c>
      <c r="V18" s="79" t="n">
        <v>75</v>
      </c>
      <c r="W18" s="75" t="s">
        <v>379</v>
      </c>
      <c r="X18" s="79" t="n">
        <v>50</v>
      </c>
      <c r="Y18" s="75" t="s">
        <v>379</v>
      </c>
      <c r="Z18" s="79" t="n">
        <v>25</v>
      </c>
      <c r="AA18" s="75" t="s">
        <v>379</v>
      </c>
      <c r="AB18" s="79" t="n">
        <v>25</v>
      </c>
    </row>
    <row r="19" customFormat="false" ht="15" hidden="false" customHeight="false" outlineLevel="0" collapsed="false">
      <c r="A19" s="77" t="s">
        <v>194</v>
      </c>
      <c r="B19" s="77" t="s">
        <v>195</v>
      </c>
      <c r="C19" s="77" t="s">
        <v>35</v>
      </c>
      <c r="D19" s="77" t="s">
        <v>56</v>
      </c>
      <c r="E19" s="77" t="s">
        <v>375</v>
      </c>
      <c r="F19" s="81" t="n">
        <v>100</v>
      </c>
      <c r="G19" s="77" t="s">
        <v>378</v>
      </c>
      <c r="H19" s="81" t="n">
        <v>75</v>
      </c>
      <c r="I19" s="77" t="s">
        <v>374</v>
      </c>
      <c r="J19" s="81" t="n">
        <v>50</v>
      </c>
      <c r="K19" s="77" t="s">
        <v>376</v>
      </c>
      <c r="L19" s="81" t="n">
        <v>75</v>
      </c>
      <c r="M19" s="77" t="s">
        <v>373</v>
      </c>
      <c r="N19" s="81" t="n">
        <v>100</v>
      </c>
      <c r="O19" s="77" t="s">
        <v>382</v>
      </c>
      <c r="P19" s="81" t="n">
        <v>50</v>
      </c>
      <c r="Q19" s="77" t="s">
        <v>382</v>
      </c>
      <c r="R19" s="81" t="n">
        <v>75</v>
      </c>
      <c r="S19" s="77" t="s">
        <v>385</v>
      </c>
      <c r="T19" s="81" t="n">
        <v>75</v>
      </c>
      <c r="U19" s="77" t="s">
        <v>382</v>
      </c>
      <c r="V19" s="81" t="n">
        <v>75</v>
      </c>
      <c r="W19" s="77" t="s">
        <v>381</v>
      </c>
      <c r="X19" s="81" t="n">
        <v>75</v>
      </c>
      <c r="Y19" s="77" t="s">
        <v>374</v>
      </c>
      <c r="Z19" s="81" t="n">
        <v>75</v>
      </c>
      <c r="AA19" s="77" t="s">
        <v>384</v>
      </c>
      <c r="AB19" s="81" t="n">
        <v>25</v>
      </c>
    </row>
    <row r="20" customFormat="false" ht="15" hidden="false" customHeight="false" outlineLevel="0" collapsed="false">
      <c r="A20" s="75" t="s">
        <v>197</v>
      </c>
      <c r="B20" s="75" t="s">
        <v>198</v>
      </c>
      <c r="C20" s="75" t="s">
        <v>39</v>
      </c>
      <c r="D20" s="75" t="s">
        <v>56</v>
      </c>
      <c r="E20" s="75" t="s">
        <v>381</v>
      </c>
      <c r="F20" s="79" t="n">
        <v>25</v>
      </c>
      <c r="G20" s="75" t="s">
        <v>382</v>
      </c>
      <c r="H20" s="79" t="n">
        <v>50</v>
      </c>
      <c r="I20" s="75" t="s">
        <v>379</v>
      </c>
      <c r="J20" s="79" t="n">
        <v>100</v>
      </c>
      <c r="K20" s="75" t="s">
        <v>384</v>
      </c>
      <c r="L20" s="79" t="n">
        <v>75</v>
      </c>
      <c r="M20" s="75" t="s">
        <v>376</v>
      </c>
      <c r="N20" s="79" t="n">
        <v>100</v>
      </c>
      <c r="O20" s="75" t="s">
        <v>378</v>
      </c>
      <c r="P20" s="79" t="n">
        <v>75</v>
      </c>
      <c r="Q20" s="75" t="s">
        <v>385</v>
      </c>
      <c r="R20" s="79" t="n">
        <v>25</v>
      </c>
      <c r="S20" s="75" t="s">
        <v>381</v>
      </c>
      <c r="T20" s="79" t="n">
        <v>75</v>
      </c>
      <c r="U20" s="75" t="s">
        <v>379</v>
      </c>
      <c r="V20" s="79" t="n">
        <v>75</v>
      </c>
      <c r="W20" s="75" t="s">
        <v>380</v>
      </c>
      <c r="X20" s="79" t="n">
        <v>100</v>
      </c>
      <c r="Y20" s="75" t="s">
        <v>379</v>
      </c>
      <c r="Z20" s="79" t="n">
        <v>75</v>
      </c>
      <c r="AA20" s="75" t="s">
        <v>376</v>
      </c>
      <c r="AB20" s="79" t="n">
        <v>50</v>
      </c>
    </row>
    <row r="21" customFormat="false" ht="15.75" hidden="false" customHeight="true" outlineLevel="0" collapsed="false">
      <c r="A21" s="77" t="s">
        <v>55</v>
      </c>
      <c r="B21" s="77" t="s">
        <v>199</v>
      </c>
      <c r="C21" s="77" t="s">
        <v>42</v>
      </c>
      <c r="D21" s="77" t="s">
        <v>56</v>
      </c>
      <c r="E21" s="77" t="s">
        <v>381</v>
      </c>
      <c r="F21" s="81" t="n">
        <v>25</v>
      </c>
      <c r="G21" s="77" t="s">
        <v>380</v>
      </c>
      <c r="H21" s="81" t="n">
        <v>75</v>
      </c>
      <c r="I21" s="77" t="s">
        <v>380</v>
      </c>
      <c r="J21" s="81" t="n">
        <v>50</v>
      </c>
      <c r="K21" s="77" t="s">
        <v>379</v>
      </c>
      <c r="L21" s="81" t="n">
        <v>25</v>
      </c>
      <c r="M21" s="77" t="s">
        <v>379</v>
      </c>
      <c r="N21" s="81" t="n">
        <v>100</v>
      </c>
      <c r="O21" s="77" t="s">
        <v>374</v>
      </c>
      <c r="P21" s="81" t="n">
        <v>75</v>
      </c>
      <c r="Q21" s="77" t="s">
        <v>379</v>
      </c>
      <c r="R21" s="81" t="n">
        <v>100</v>
      </c>
      <c r="S21" s="77" t="s">
        <v>376</v>
      </c>
      <c r="T21" s="81" t="n">
        <v>50</v>
      </c>
      <c r="U21" s="77" t="s">
        <v>378</v>
      </c>
      <c r="V21" s="81" t="n">
        <v>25</v>
      </c>
      <c r="W21" s="77" t="s">
        <v>375</v>
      </c>
      <c r="X21" s="81" t="n">
        <v>100</v>
      </c>
      <c r="Y21" s="77" t="s">
        <v>376</v>
      </c>
      <c r="Z21" s="81" t="n">
        <v>25</v>
      </c>
      <c r="AA21" s="77" t="s">
        <v>377</v>
      </c>
      <c r="AB21" s="81" t="n">
        <v>50</v>
      </c>
    </row>
    <row r="22" customFormat="false" ht="15.75" hidden="false" customHeight="true" outlineLevel="0" collapsed="false">
      <c r="A22" s="75" t="s">
        <v>87</v>
      </c>
      <c r="B22" s="75" t="s">
        <v>204</v>
      </c>
      <c r="C22" s="75" t="s">
        <v>45</v>
      </c>
      <c r="D22" s="75" t="s">
        <v>56</v>
      </c>
      <c r="E22" s="75" t="s">
        <v>383</v>
      </c>
      <c r="F22" s="79" t="n">
        <v>100</v>
      </c>
      <c r="G22" s="75" t="s">
        <v>373</v>
      </c>
      <c r="H22" s="79" t="n">
        <v>100</v>
      </c>
      <c r="I22" s="75" t="s">
        <v>380</v>
      </c>
      <c r="J22" s="79" t="n">
        <v>50</v>
      </c>
      <c r="K22" s="75" t="s">
        <v>383</v>
      </c>
      <c r="L22" s="79" t="n">
        <v>25</v>
      </c>
      <c r="M22" s="75" t="s">
        <v>381</v>
      </c>
      <c r="N22" s="79" t="n">
        <v>100</v>
      </c>
      <c r="O22" s="75" t="s">
        <v>375</v>
      </c>
      <c r="P22" s="79" t="n">
        <v>25</v>
      </c>
      <c r="Q22" s="75" t="s">
        <v>374</v>
      </c>
      <c r="R22" s="79" t="n">
        <v>75</v>
      </c>
      <c r="S22" s="75" t="s">
        <v>377</v>
      </c>
      <c r="T22" s="79" t="n">
        <v>100</v>
      </c>
      <c r="U22" s="75" t="s">
        <v>381</v>
      </c>
      <c r="V22" s="79" t="n">
        <v>50</v>
      </c>
      <c r="W22" s="75" t="s">
        <v>373</v>
      </c>
      <c r="X22" s="79" t="n">
        <v>25</v>
      </c>
      <c r="Y22" s="75" t="s">
        <v>379</v>
      </c>
      <c r="Z22" s="79" t="n">
        <v>75</v>
      </c>
      <c r="AA22" s="75" t="s">
        <v>385</v>
      </c>
      <c r="AB22" s="79" t="n">
        <v>75</v>
      </c>
    </row>
    <row r="23" customFormat="false" ht="15.75" hidden="false" customHeight="true" outlineLevel="0" collapsed="false">
      <c r="A23" s="77" t="s">
        <v>69</v>
      </c>
      <c r="B23" s="77" t="s">
        <v>206</v>
      </c>
      <c r="C23" s="77" t="s">
        <v>45</v>
      </c>
      <c r="D23" s="77" t="s">
        <v>56</v>
      </c>
      <c r="E23" s="77" t="s">
        <v>378</v>
      </c>
      <c r="F23" s="81" t="n">
        <v>100</v>
      </c>
      <c r="G23" s="77" t="s">
        <v>375</v>
      </c>
      <c r="H23" s="81" t="n">
        <v>50</v>
      </c>
      <c r="I23" s="77" t="s">
        <v>376</v>
      </c>
      <c r="J23" s="81" t="n">
        <v>100</v>
      </c>
      <c r="K23" s="77" t="s">
        <v>376</v>
      </c>
      <c r="L23" s="81" t="n">
        <v>50</v>
      </c>
      <c r="M23" s="77" t="s">
        <v>379</v>
      </c>
      <c r="N23" s="81" t="n">
        <v>25</v>
      </c>
      <c r="O23" s="77" t="s">
        <v>378</v>
      </c>
      <c r="P23" s="81" t="n">
        <v>75</v>
      </c>
      <c r="Q23" s="77" t="s">
        <v>377</v>
      </c>
      <c r="R23" s="81" t="n">
        <v>50</v>
      </c>
      <c r="S23" s="77" t="s">
        <v>384</v>
      </c>
      <c r="T23" s="81" t="n">
        <v>50</v>
      </c>
      <c r="U23" s="77" t="s">
        <v>376</v>
      </c>
      <c r="V23" s="81" t="n">
        <v>50</v>
      </c>
      <c r="W23" s="77" t="s">
        <v>380</v>
      </c>
      <c r="X23" s="81" t="n">
        <v>50</v>
      </c>
      <c r="Y23" s="77" t="s">
        <v>377</v>
      </c>
      <c r="Z23" s="81" t="n">
        <v>75</v>
      </c>
      <c r="AA23" s="77" t="s">
        <v>384</v>
      </c>
      <c r="AB23" s="81" t="n">
        <v>50</v>
      </c>
    </row>
    <row r="24" customFormat="false" ht="15.75" hidden="false" customHeight="true" outlineLevel="0" collapsed="false">
      <c r="A24" s="75" t="s">
        <v>90</v>
      </c>
      <c r="B24" s="75" t="s">
        <v>208</v>
      </c>
      <c r="C24" s="75" t="s">
        <v>35</v>
      </c>
      <c r="D24" s="75" t="s">
        <v>56</v>
      </c>
      <c r="E24" s="75" t="s">
        <v>384</v>
      </c>
      <c r="F24" s="79" t="n">
        <v>25</v>
      </c>
      <c r="G24" s="75" t="s">
        <v>375</v>
      </c>
      <c r="H24" s="79" t="n">
        <v>50</v>
      </c>
      <c r="I24" s="75" t="s">
        <v>382</v>
      </c>
      <c r="J24" s="79" t="n">
        <v>75</v>
      </c>
      <c r="K24" s="75" t="s">
        <v>384</v>
      </c>
      <c r="L24" s="79" t="n">
        <v>50</v>
      </c>
      <c r="M24" s="75" t="s">
        <v>376</v>
      </c>
      <c r="N24" s="79" t="n">
        <v>25</v>
      </c>
      <c r="O24" s="75" t="s">
        <v>382</v>
      </c>
      <c r="P24" s="79" t="n">
        <v>25</v>
      </c>
      <c r="Q24" s="75" t="s">
        <v>373</v>
      </c>
      <c r="R24" s="79" t="n">
        <v>50</v>
      </c>
      <c r="S24" s="75" t="s">
        <v>380</v>
      </c>
      <c r="T24" s="79" t="n">
        <v>75</v>
      </c>
      <c r="U24" s="75" t="s">
        <v>378</v>
      </c>
      <c r="V24" s="79" t="n">
        <v>50</v>
      </c>
      <c r="W24" s="75" t="s">
        <v>375</v>
      </c>
      <c r="X24" s="79" t="n">
        <v>25</v>
      </c>
      <c r="Y24" s="75" t="s">
        <v>382</v>
      </c>
      <c r="Z24" s="79" t="n">
        <v>100</v>
      </c>
      <c r="AA24" s="75" t="s">
        <v>385</v>
      </c>
      <c r="AB24" s="79" t="n">
        <v>25</v>
      </c>
    </row>
    <row r="25" customFormat="false" ht="15.75" hidden="false" customHeight="true" outlineLevel="0" collapsed="false">
      <c r="A25" s="77" t="s">
        <v>209</v>
      </c>
      <c r="B25" s="77" t="s">
        <v>210</v>
      </c>
      <c r="C25" s="77" t="s">
        <v>43</v>
      </c>
      <c r="D25" s="77" t="s">
        <v>56</v>
      </c>
      <c r="E25" s="77" t="s">
        <v>374</v>
      </c>
      <c r="F25" s="81" t="n">
        <v>25</v>
      </c>
      <c r="G25" s="77" t="s">
        <v>381</v>
      </c>
      <c r="H25" s="81" t="n">
        <v>100</v>
      </c>
      <c r="I25" s="77" t="s">
        <v>384</v>
      </c>
      <c r="J25" s="81" t="n">
        <v>75</v>
      </c>
      <c r="K25" s="77" t="s">
        <v>385</v>
      </c>
      <c r="L25" s="81" t="n">
        <v>25</v>
      </c>
      <c r="M25" s="77" t="s">
        <v>381</v>
      </c>
      <c r="N25" s="81" t="n">
        <v>50</v>
      </c>
      <c r="O25" s="77" t="s">
        <v>380</v>
      </c>
      <c r="P25" s="81" t="n">
        <v>25</v>
      </c>
      <c r="Q25" s="77" t="s">
        <v>374</v>
      </c>
      <c r="R25" s="81" t="n">
        <v>75</v>
      </c>
      <c r="S25" s="77" t="s">
        <v>381</v>
      </c>
      <c r="T25" s="81" t="n">
        <v>25</v>
      </c>
      <c r="U25" s="77" t="s">
        <v>378</v>
      </c>
      <c r="V25" s="81" t="n">
        <v>100</v>
      </c>
      <c r="W25" s="77" t="s">
        <v>383</v>
      </c>
      <c r="X25" s="81" t="n">
        <v>100</v>
      </c>
      <c r="Y25" s="77" t="s">
        <v>379</v>
      </c>
      <c r="Z25" s="81" t="n">
        <v>25</v>
      </c>
      <c r="AA25" s="77" t="s">
        <v>381</v>
      </c>
      <c r="AB25" s="81" t="n">
        <v>100</v>
      </c>
    </row>
    <row r="26" customFormat="false" ht="15.75" hidden="false" customHeight="true" outlineLevel="0" collapsed="false">
      <c r="A26" s="75" t="s">
        <v>212</v>
      </c>
      <c r="B26" s="75" t="s">
        <v>213</v>
      </c>
      <c r="C26" s="75" t="s">
        <v>46</v>
      </c>
      <c r="D26" s="75" t="s">
        <v>56</v>
      </c>
      <c r="E26" s="75" t="s">
        <v>376</v>
      </c>
      <c r="F26" s="79" t="n">
        <v>25</v>
      </c>
      <c r="G26" s="75" t="s">
        <v>373</v>
      </c>
      <c r="H26" s="79" t="n">
        <v>50</v>
      </c>
      <c r="I26" s="75" t="s">
        <v>376</v>
      </c>
      <c r="J26" s="79" t="n">
        <v>50</v>
      </c>
      <c r="K26" s="75" t="s">
        <v>375</v>
      </c>
      <c r="L26" s="79" t="n">
        <v>75</v>
      </c>
      <c r="M26" s="75" t="s">
        <v>383</v>
      </c>
      <c r="N26" s="79" t="n">
        <v>75</v>
      </c>
      <c r="O26" s="75" t="s">
        <v>381</v>
      </c>
      <c r="P26" s="79" t="n">
        <v>100</v>
      </c>
      <c r="Q26" s="75" t="s">
        <v>376</v>
      </c>
      <c r="R26" s="79" t="n">
        <v>25</v>
      </c>
      <c r="S26" s="75" t="s">
        <v>379</v>
      </c>
      <c r="T26" s="79" t="n">
        <v>50</v>
      </c>
      <c r="U26" s="75" t="s">
        <v>383</v>
      </c>
      <c r="V26" s="79" t="n">
        <v>100</v>
      </c>
      <c r="W26" s="75" t="s">
        <v>377</v>
      </c>
      <c r="X26" s="79" t="n">
        <v>100</v>
      </c>
      <c r="Y26" s="75" t="s">
        <v>373</v>
      </c>
      <c r="Z26" s="79" t="n">
        <v>100</v>
      </c>
      <c r="AA26" s="75" t="s">
        <v>383</v>
      </c>
      <c r="AB26" s="79" t="n">
        <v>100</v>
      </c>
    </row>
    <row r="27" customFormat="false" ht="15.75" hidden="false" customHeight="true" outlineLevel="0" collapsed="false">
      <c r="A27" s="77" t="s">
        <v>70</v>
      </c>
      <c r="B27" s="77" t="s">
        <v>215</v>
      </c>
      <c r="C27" s="77" t="s">
        <v>46</v>
      </c>
      <c r="D27" s="77" t="s">
        <v>56</v>
      </c>
      <c r="E27" s="77" t="s">
        <v>374</v>
      </c>
      <c r="F27" s="81" t="n">
        <v>25</v>
      </c>
      <c r="G27" s="77" t="s">
        <v>373</v>
      </c>
      <c r="H27" s="81" t="n">
        <v>100</v>
      </c>
      <c r="I27" s="77" t="s">
        <v>373</v>
      </c>
      <c r="J27" s="81" t="n">
        <v>75</v>
      </c>
      <c r="K27" s="77" t="s">
        <v>373</v>
      </c>
      <c r="L27" s="81" t="n">
        <v>50</v>
      </c>
      <c r="M27" s="77" t="s">
        <v>379</v>
      </c>
      <c r="N27" s="81" t="n">
        <v>100</v>
      </c>
      <c r="O27" s="77" t="s">
        <v>376</v>
      </c>
      <c r="P27" s="81" t="n">
        <v>25</v>
      </c>
      <c r="Q27" s="77" t="s">
        <v>376</v>
      </c>
      <c r="R27" s="81" t="n">
        <v>25</v>
      </c>
      <c r="S27" s="77" t="s">
        <v>383</v>
      </c>
      <c r="T27" s="81" t="n">
        <v>25</v>
      </c>
      <c r="U27" s="77" t="s">
        <v>374</v>
      </c>
      <c r="V27" s="81" t="n">
        <v>75</v>
      </c>
      <c r="W27" s="77" t="s">
        <v>384</v>
      </c>
      <c r="X27" s="81" t="n">
        <v>50</v>
      </c>
      <c r="Y27" s="77" t="s">
        <v>385</v>
      </c>
      <c r="Z27" s="81" t="n">
        <v>25</v>
      </c>
      <c r="AA27" s="77" t="s">
        <v>380</v>
      </c>
      <c r="AB27" s="81" t="n">
        <v>75</v>
      </c>
    </row>
    <row r="28" customFormat="false" ht="15.75" hidden="false" customHeight="true" outlineLevel="0" collapsed="false">
      <c r="A28" s="75" t="s">
        <v>216</v>
      </c>
      <c r="B28" s="75" t="s">
        <v>217</v>
      </c>
      <c r="C28" s="75" t="s">
        <v>37</v>
      </c>
      <c r="D28" s="75" t="s">
        <v>56</v>
      </c>
      <c r="E28" s="75" t="s">
        <v>379</v>
      </c>
      <c r="F28" s="79" t="n">
        <v>25</v>
      </c>
      <c r="G28" s="75" t="s">
        <v>383</v>
      </c>
      <c r="H28" s="79" t="n">
        <v>75</v>
      </c>
      <c r="I28" s="75" t="s">
        <v>379</v>
      </c>
      <c r="J28" s="79" t="n">
        <v>100</v>
      </c>
      <c r="K28" s="75" t="s">
        <v>374</v>
      </c>
      <c r="L28" s="79" t="n">
        <v>25</v>
      </c>
      <c r="M28" s="75" t="s">
        <v>375</v>
      </c>
      <c r="N28" s="79" t="n">
        <v>75</v>
      </c>
      <c r="O28" s="75" t="s">
        <v>373</v>
      </c>
      <c r="P28" s="79" t="n">
        <v>25</v>
      </c>
      <c r="Q28" s="75" t="s">
        <v>380</v>
      </c>
      <c r="R28" s="79" t="n">
        <v>50</v>
      </c>
      <c r="S28" s="75" t="s">
        <v>382</v>
      </c>
      <c r="T28" s="79" t="n">
        <v>100</v>
      </c>
      <c r="U28" s="75" t="s">
        <v>377</v>
      </c>
      <c r="V28" s="79" t="n">
        <v>25</v>
      </c>
      <c r="W28" s="75" t="s">
        <v>373</v>
      </c>
      <c r="X28" s="79" t="n">
        <v>75</v>
      </c>
      <c r="Y28" s="75" t="s">
        <v>376</v>
      </c>
      <c r="Z28" s="79" t="n">
        <v>75</v>
      </c>
      <c r="AA28" s="75" t="s">
        <v>380</v>
      </c>
      <c r="AB28" s="79" t="n">
        <v>50</v>
      </c>
    </row>
    <row r="29" customFormat="false" ht="15.75" hidden="false" customHeight="true" outlineLevel="0" collapsed="false">
      <c r="A29" s="77" t="s">
        <v>218</v>
      </c>
      <c r="B29" s="77" t="s">
        <v>219</v>
      </c>
      <c r="C29" s="77" t="s">
        <v>44</v>
      </c>
      <c r="D29" s="77" t="s">
        <v>56</v>
      </c>
      <c r="E29" s="77" t="s">
        <v>384</v>
      </c>
      <c r="F29" s="81" t="n">
        <v>100</v>
      </c>
      <c r="G29" s="77" t="s">
        <v>385</v>
      </c>
      <c r="H29" s="81" t="n">
        <v>25</v>
      </c>
      <c r="I29" s="77" t="s">
        <v>380</v>
      </c>
      <c r="J29" s="81" t="n">
        <v>75</v>
      </c>
      <c r="K29" s="77" t="s">
        <v>378</v>
      </c>
      <c r="L29" s="81" t="n">
        <v>50</v>
      </c>
      <c r="M29" s="77" t="s">
        <v>375</v>
      </c>
      <c r="N29" s="81" t="n">
        <v>75</v>
      </c>
      <c r="O29" s="77" t="s">
        <v>373</v>
      </c>
      <c r="P29" s="81" t="n">
        <v>75</v>
      </c>
      <c r="Q29" s="77" t="s">
        <v>378</v>
      </c>
      <c r="R29" s="81" t="n">
        <v>50</v>
      </c>
      <c r="S29" s="77" t="s">
        <v>382</v>
      </c>
      <c r="T29" s="81" t="n">
        <v>100</v>
      </c>
      <c r="U29" s="77" t="s">
        <v>376</v>
      </c>
      <c r="V29" s="81" t="n">
        <v>50</v>
      </c>
      <c r="W29" s="77" t="s">
        <v>374</v>
      </c>
      <c r="X29" s="81" t="n">
        <v>25</v>
      </c>
      <c r="Y29" s="77" t="s">
        <v>376</v>
      </c>
      <c r="Z29" s="81" t="n">
        <v>50</v>
      </c>
      <c r="AA29" s="77" t="s">
        <v>383</v>
      </c>
      <c r="AB29" s="81" t="n">
        <v>100</v>
      </c>
    </row>
    <row r="30" customFormat="false" ht="15.75" hidden="false" customHeight="true" outlineLevel="0" collapsed="false">
      <c r="A30" s="75" t="s">
        <v>221</v>
      </c>
      <c r="B30" s="75" t="s">
        <v>222</v>
      </c>
      <c r="C30" s="75" t="s">
        <v>43</v>
      </c>
      <c r="D30" s="75" t="s">
        <v>56</v>
      </c>
      <c r="E30" s="75" t="s">
        <v>381</v>
      </c>
      <c r="F30" s="79" t="n">
        <v>75</v>
      </c>
      <c r="G30" s="75" t="s">
        <v>382</v>
      </c>
      <c r="H30" s="79" t="n">
        <v>75</v>
      </c>
      <c r="I30" s="75" t="s">
        <v>375</v>
      </c>
      <c r="J30" s="79" t="n">
        <v>75</v>
      </c>
      <c r="K30" s="75" t="s">
        <v>384</v>
      </c>
      <c r="L30" s="79" t="n">
        <v>25</v>
      </c>
      <c r="M30" s="75" t="s">
        <v>378</v>
      </c>
      <c r="N30" s="79" t="n">
        <v>50</v>
      </c>
      <c r="O30" s="75" t="s">
        <v>382</v>
      </c>
      <c r="P30" s="79" t="n">
        <v>25</v>
      </c>
      <c r="Q30" s="75" t="s">
        <v>379</v>
      </c>
      <c r="R30" s="79" t="n">
        <v>25</v>
      </c>
      <c r="S30" s="75" t="s">
        <v>375</v>
      </c>
      <c r="T30" s="79" t="n">
        <v>100</v>
      </c>
      <c r="U30" s="75" t="s">
        <v>379</v>
      </c>
      <c r="V30" s="79" t="n">
        <v>100</v>
      </c>
      <c r="W30" s="75" t="s">
        <v>381</v>
      </c>
      <c r="X30" s="79" t="n">
        <v>100</v>
      </c>
      <c r="Y30" s="75" t="s">
        <v>383</v>
      </c>
      <c r="Z30" s="79" t="n">
        <v>75</v>
      </c>
      <c r="AA30" s="75" t="s">
        <v>377</v>
      </c>
      <c r="AB30" s="79" t="n">
        <v>25</v>
      </c>
    </row>
    <row r="31" customFormat="false" ht="15.75" hidden="false" customHeight="true" outlineLevel="0" collapsed="false">
      <c r="A31" s="77" t="s">
        <v>93</v>
      </c>
      <c r="B31" s="77" t="s">
        <v>224</v>
      </c>
      <c r="C31" s="77" t="s">
        <v>44</v>
      </c>
      <c r="D31" s="77" t="s">
        <v>56</v>
      </c>
      <c r="E31" s="77" t="s">
        <v>373</v>
      </c>
      <c r="F31" s="81" t="n">
        <v>100</v>
      </c>
      <c r="G31" s="77" t="s">
        <v>376</v>
      </c>
      <c r="H31" s="81" t="n">
        <v>75</v>
      </c>
      <c r="I31" s="77" t="s">
        <v>379</v>
      </c>
      <c r="J31" s="81" t="n">
        <v>100</v>
      </c>
      <c r="K31" s="77" t="s">
        <v>385</v>
      </c>
      <c r="L31" s="81" t="n">
        <v>75</v>
      </c>
      <c r="M31" s="77" t="s">
        <v>378</v>
      </c>
      <c r="N31" s="81" t="n">
        <v>50</v>
      </c>
      <c r="O31" s="77" t="s">
        <v>383</v>
      </c>
      <c r="P31" s="81" t="n">
        <v>25</v>
      </c>
      <c r="Q31" s="77" t="s">
        <v>378</v>
      </c>
      <c r="R31" s="81" t="n">
        <v>50</v>
      </c>
      <c r="S31" s="77" t="s">
        <v>375</v>
      </c>
      <c r="T31" s="81" t="n">
        <v>50</v>
      </c>
      <c r="U31" s="77" t="s">
        <v>384</v>
      </c>
      <c r="V31" s="81" t="n">
        <v>50</v>
      </c>
      <c r="W31" s="77" t="s">
        <v>384</v>
      </c>
      <c r="X31" s="81" t="n">
        <v>75</v>
      </c>
      <c r="Y31" s="77" t="s">
        <v>375</v>
      </c>
      <c r="Z31" s="81" t="n">
        <v>75</v>
      </c>
      <c r="AA31" s="77" t="s">
        <v>376</v>
      </c>
      <c r="AB31" s="81" t="n">
        <v>25</v>
      </c>
    </row>
    <row r="32" customFormat="false" ht="15.75" hidden="false" customHeight="true" outlineLevel="0" collapsed="false">
      <c r="A32" s="75" t="s">
        <v>225</v>
      </c>
      <c r="B32" s="75" t="s">
        <v>226</v>
      </c>
      <c r="C32" s="75" t="s">
        <v>45</v>
      </c>
      <c r="D32" s="75" t="s">
        <v>56</v>
      </c>
      <c r="E32" s="75" t="s">
        <v>381</v>
      </c>
      <c r="F32" s="79" t="n">
        <v>100</v>
      </c>
      <c r="G32" s="75" t="s">
        <v>382</v>
      </c>
      <c r="H32" s="79" t="n">
        <v>50</v>
      </c>
      <c r="I32" s="75" t="s">
        <v>383</v>
      </c>
      <c r="J32" s="79" t="n">
        <v>50</v>
      </c>
      <c r="K32" s="75" t="s">
        <v>385</v>
      </c>
      <c r="L32" s="79" t="n">
        <v>75</v>
      </c>
      <c r="M32" s="75" t="s">
        <v>376</v>
      </c>
      <c r="N32" s="79" t="n">
        <v>100</v>
      </c>
      <c r="O32" s="75" t="s">
        <v>374</v>
      </c>
      <c r="P32" s="79" t="n">
        <v>25</v>
      </c>
      <c r="Q32" s="75" t="s">
        <v>383</v>
      </c>
      <c r="R32" s="79" t="n">
        <v>25</v>
      </c>
      <c r="S32" s="75" t="s">
        <v>381</v>
      </c>
      <c r="T32" s="79" t="n">
        <v>25</v>
      </c>
      <c r="U32" s="75" t="s">
        <v>373</v>
      </c>
      <c r="V32" s="79" t="n">
        <v>100</v>
      </c>
      <c r="W32" s="75" t="s">
        <v>380</v>
      </c>
      <c r="X32" s="79" t="n">
        <v>100</v>
      </c>
      <c r="Y32" s="75" t="s">
        <v>374</v>
      </c>
      <c r="Z32" s="79" t="n">
        <v>100</v>
      </c>
      <c r="AA32" s="75" t="s">
        <v>375</v>
      </c>
      <c r="AB32" s="79" t="n">
        <v>25</v>
      </c>
    </row>
    <row r="33" customFormat="false" ht="15.75" hidden="false" customHeight="true" outlineLevel="0" collapsed="false">
      <c r="A33" s="77" t="s">
        <v>227</v>
      </c>
      <c r="B33" s="77" t="s">
        <v>228</v>
      </c>
      <c r="C33" s="77" t="s">
        <v>39</v>
      </c>
      <c r="D33" s="77" t="s">
        <v>56</v>
      </c>
      <c r="E33" s="77" t="s">
        <v>383</v>
      </c>
      <c r="F33" s="81" t="n">
        <v>25</v>
      </c>
      <c r="G33" s="77" t="s">
        <v>373</v>
      </c>
      <c r="H33" s="81" t="n">
        <v>50</v>
      </c>
      <c r="I33" s="77" t="s">
        <v>384</v>
      </c>
      <c r="J33" s="81" t="n">
        <v>100</v>
      </c>
      <c r="K33" s="77" t="s">
        <v>374</v>
      </c>
      <c r="L33" s="81" t="n">
        <v>75</v>
      </c>
      <c r="M33" s="77" t="s">
        <v>376</v>
      </c>
      <c r="N33" s="81" t="n">
        <v>100</v>
      </c>
      <c r="O33" s="77" t="s">
        <v>376</v>
      </c>
      <c r="P33" s="81" t="n">
        <v>50</v>
      </c>
      <c r="Q33" s="77" t="s">
        <v>383</v>
      </c>
      <c r="R33" s="81" t="n">
        <v>100</v>
      </c>
      <c r="S33" s="77" t="s">
        <v>385</v>
      </c>
      <c r="T33" s="81" t="n">
        <v>25</v>
      </c>
      <c r="U33" s="77" t="s">
        <v>383</v>
      </c>
      <c r="V33" s="81" t="n">
        <v>75</v>
      </c>
      <c r="W33" s="77" t="s">
        <v>374</v>
      </c>
      <c r="X33" s="81" t="n">
        <v>75</v>
      </c>
      <c r="Y33" s="77" t="s">
        <v>377</v>
      </c>
      <c r="Z33" s="81" t="n">
        <v>75</v>
      </c>
      <c r="AA33" s="77" t="s">
        <v>384</v>
      </c>
      <c r="AB33" s="81" t="n">
        <v>50</v>
      </c>
    </row>
    <row r="34" customFormat="false" ht="15.75" hidden="false" customHeight="true" outlineLevel="0" collapsed="false">
      <c r="A34" s="75" t="s">
        <v>92</v>
      </c>
      <c r="B34" s="75" t="s">
        <v>229</v>
      </c>
      <c r="C34" s="75" t="s">
        <v>37</v>
      </c>
      <c r="D34" s="75" t="s">
        <v>56</v>
      </c>
      <c r="E34" s="75" t="s">
        <v>376</v>
      </c>
      <c r="F34" s="79" t="n">
        <v>25</v>
      </c>
      <c r="G34" s="75" t="s">
        <v>385</v>
      </c>
      <c r="H34" s="79" t="n">
        <v>50</v>
      </c>
      <c r="I34" s="75" t="s">
        <v>384</v>
      </c>
      <c r="J34" s="79" t="n">
        <v>75</v>
      </c>
      <c r="K34" s="75" t="s">
        <v>373</v>
      </c>
      <c r="L34" s="79" t="n">
        <v>50</v>
      </c>
      <c r="M34" s="75" t="s">
        <v>377</v>
      </c>
      <c r="N34" s="79" t="n">
        <v>25</v>
      </c>
      <c r="O34" s="75" t="s">
        <v>382</v>
      </c>
      <c r="P34" s="79" t="n">
        <v>75</v>
      </c>
      <c r="Q34" s="75" t="s">
        <v>377</v>
      </c>
      <c r="R34" s="79" t="n">
        <v>50</v>
      </c>
      <c r="S34" s="75" t="s">
        <v>380</v>
      </c>
      <c r="T34" s="79" t="n">
        <v>50</v>
      </c>
      <c r="U34" s="75" t="s">
        <v>384</v>
      </c>
      <c r="V34" s="79" t="n">
        <v>25</v>
      </c>
      <c r="W34" s="75" t="s">
        <v>382</v>
      </c>
      <c r="X34" s="79" t="n">
        <v>100</v>
      </c>
      <c r="Y34" s="75" t="s">
        <v>381</v>
      </c>
      <c r="Z34" s="79" t="n">
        <v>100</v>
      </c>
      <c r="AA34" s="75" t="s">
        <v>379</v>
      </c>
      <c r="AB34" s="79" t="n">
        <v>75</v>
      </c>
    </row>
    <row r="35" customFormat="false" ht="15.75" hidden="false" customHeight="true" outlineLevel="0" collapsed="false">
      <c r="A35" s="77" t="s">
        <v>230</v>
      </c>
      <c r="B35" s="77" t="s">
        <v>231</v>
      </c>
      <c r="C35" s="77" t="s">
        <v>43</v>
      </c>
      <c r="D35" s="77" t="s">
        <v>56</v>
      </c>
      <c r="E35" s="77" t="s">
        <v>379</v>
      </c>
      <c r="F35" s="81" t="n">
        <v>75</v>
      </c>
      <c r="G35" s="77" t="s">
        <v>382</v>
      </c>
      <c r="H35" s="81" t="n">
        <v>100</v>
      </c>
      <c r="I35" s="77" t="s">
        <v>376</v>
      </c>
      <c r="J35" s="81" t="n">
        <v>100</v>
      </c>
      <c r="K35" s="77" t="s">
        <v>381</v>
      </c>
      <c r="L35" s="81" t="n">
        <v>75</v>
      </c>
      <c r="M35" s="77" t="s">
        <v>384</v>
      </c>
      <c r="N35" s="81" t="n">
        <v>75</v>
      </c>
      <c r="O35" s="77" t="s">
        <v>380</v>
      </c>
      <c r="P35" s="81" t="n">
        <v>25</v>
      </c>
      <c r="Q35" s="77" t="s">
        <v>373</v>
      </c>
      <c r="R35" s="81" t="n">
        <v>25</v>
      </c>
      <c r="S35" s="77" t="s">
        <v>375</v>
      </c>
      <c r="T35" s="81" t="n">
        <v>100</v>
      </c>
      <c r="U35" s="77" t="s">
        <v>381</v>
      </c>
      <c r="V35" s="81" t="n">
        <v>25</v>
      </c>
      <c r="W35" s="77" t="s">
        <v>378</v>
      </c>
      <c r="X35" s="81" t="n">
        <v>75</v>
      </c>
      <c r="Y35" s="77" t="s">
        <v>375</v>
      </c>
      <c r="Z35" s="81" t="n">
        <v>25</v>
      </c>
      <c r="AA35" s="77" t="s">
        <v>379</v>
      </c>
      <c r="AB35" s="81" t="n">
        <v>25</v>
      </c>
    </row>
    <row r="36" customFormat="false" ht="15.75" hidden="false" customHeight="true" outlineLevel="0" collapsed="false">
      <c r="A36" s="75" t="s">
        <v>232</v>
      </c>
      <c r="B36" s="75" t="s">
        <v>233</v>
      </c>
      <c r="C36" s="75" t="s">
        <v>39</v>
      </c>
      <c r="D36" s="75" t="s">
        <v>56</v>
      </c>
      <c r="E36" s="75" t="s">
        <v>380</v>
      </c>
      <c r="F36" s="79" t="n">
        <v>100</v>
      </c>
      <c r="G36" s="75" t="s">
        <v>381</v>
      </c>
      <c r="H36" s="79" t="n">
        <v>25</v>
      </c>
      <c r="I36" s="75" t="s">
        <v>381</v>
      </c>
      <c r="J36" s="79" t="n">
        <v>50</v>
      </c>
      <c r="K36" s="75" t="s">
        <v>373</v>
      </c>
      <c r="L36" s="79" t="n">
        <v>100</v>
      </c>
      <c r="M36" s="75" t="s">
        <v>385</v>
      </c>
      <c r="N36" s="79" t="n">
        <v>50</v>
      </c>
      <c r="O36" s="75" t="s">
        <v>378</v>
      </c>
      <c r="P36" s="79" t="n">
        <v>100</v>
      </c>
      <c r="Q36" s="75" t="s">
        <v>376</v>
      </c>
      <c r="R36" s="79" t="n">
        <v>75</v>
      </c>
      <c r="S36" s="75" t="s">
        <v>374</v>
      </c>
      <c r="T36" s="79" t="n">
        <v>25</v>
      </c>
      <c r="U36" s="75" t="s">
        <v>385</v>
      </c>
      <c r="V36" s="79" t="n">
        <v>50</v>
      </c>
      <c r="W36" s="75" t="s">
        <v>378</v>
      </c>
      <c r="X36" s="79" t="n">
        <v>50</v>
      </c>
      <c r="Y36" s="75" t="s">
        <v>374</v>
      </c>
      <c r="Z36" s="79" t="n">
        <v>100</v>
      </c>
      <c r="AA36" s="75" t="s">
        <v>381</v>
      </c>
      <c r="AB36" s="79" t="n">
        <v>50</v>
      </c>
    </row>
    <row r="37" customFormat="false" ht="15.75" hidden="false" customHeight="true" outlineLevel="0" collapsed="false">
      <c r="A37" s="77" t="s">
        <v>234</v>
      </c>
      <c r="B37" s="77" t="s">
        <v>235</v>
      </c>
      <c r="C37" s="77" t="s">
        <v>41</v>
      </c>
      <c r="D37" s="77" t="s">
        <v>56</v>
      </c>
      <c r="E37" s="77" t="s">
        <v>373</v>
      </c>
      <c r="F37" s="81" t="n">
        <v>75</v>
      </c>
      <c r="G37" s="77" t="s">
        <v>375</v>
      </c>
      <c r="H37" s="81" t="n">
        <v>100</v>
      </c>
      <c r="I37" s="77" t="s">
        <v>383</v>
      </c>
      <c r="J37" s="81" t="n">
        <v>75</v>
      </c>
      <c r="K37" s="77" t="s">
        <v>379</v>
      </c>
      <c r="L37" s="81" t="n">
        <v>25</v>
      </c>
      <c r="M37" s="77" t="s">
        <v>384</v>
      </c>
      <c r="N37" s="81" t="n">
        <v>75</v>
      </c>
      <c r="O37" s="77" t="s">
        <v>376</v>
      </c>
      <c r="P37" s="81" t="n">
        <v>75</v>
      </c>
      <c r="Q37" s="77" t="s">
        <v>376</v>
      </c>
      <c r="R37" s="81" t="n">
        <v>100</v>
      </c>
      <c r="S37" s="77" t="s">
        <v>375</v>
      </c>
      <c r="T37" s="81" t="n">
        <v>75</v>
      </c>
      <c r="U37" s="77" t="s">
        <v>374</v>
      </c>
      <c r="V37" s="81" t="n">
        <v>50</v>
      </c>
      <c r="W37" s="77" t="s">
        <v>373</v>
      </c>
      <c r="X37" s="81" t="n">
        <v>25</v>
      </c>
      <c r="Y37" s="77" t="s">
        <v>380</v>
      </c>
      <c r="Z37" s="81" t="n">
        <v>50</v>
      </c>
      <c r="AA37" s="77" t="s">
        <v>373</v>
      </c>
      <c r="AB37" s="81" t="n">
        <v>75</v>
      </c>
    </row>
    <row r="38" customFormat="false" ht="15.75" hidden="false" customHeight="true" outlineLevel="0" collapsed="false">
      <c r="A38" s="75" t="s">
        <v>236</v>
      </c>
      <c r="B38" s="75" t="s">
        <v>237</v>
      </c>
      <c r="C38" s="75" t="s">
        <v>37</v>
      </c>
      <c r="D38" s="75" t="s">
        <v>56</v>
      </c>
      <c r="E38" s="75" t="s">
        <v>379</v>
      </c>
      <c r="F38" s="79" t="n">
        <v>100</v>
      </c>
      <c r="G38" s="75" t="s">
        <v>382</v>
      </c>
      <c r="H38" s="79" t="n">
        <v>25</v>
      </c>
      <c r="I38" s="75" t="s">
        <v>375</v>
      </c>
      <c r="J38" s="79" t="n">
        <v>100</v>
      </c>
      <c r="K38" s="75" t="s">
        <v>379</v>
      </c>
      <c r="L38" s="79" t="n">
        <v>75</v>
      </c>
      <c r="M38" s="75" t="s">
        <v>382</v>
      </c>
      <c r="N38" s="79" t="n">
        <v>25</v>
      </c>
      <c r="O38" s="75" t="s">
        <v>379</v>
      </c>
      <c r="P38" s="79" t="n">
        <v>100</v>
      </c>
      <c r="Q38" s="75" t="s">
        <v>385</v>
      </c>
      <c r="R38" s="79" t="n">
        <v>75</v>
      </c>
      <c r="S38" s="75" t="s">
        <v>378</v>
      </c>
      <c r="T38" s="79" t="n">
        <v>75</v>
      </c>
      <c r="U38" s="75" t="s">
        <v>375</v>
      </c>
      <c r="V38" s="79" t="n">
        <v>50</v>
      </c>
      <c r="W38" s="75" t="s">
        <v>377</v>
      </c>
      <c r="X38" s="79" t="n">
        <v>75</v>
      </c>
      <c r="Y38" s="75" t="s">
        <v>384</v>
      </c>
      <c r="Z38" s="79" t="n">
        <v>100</v>
      </c>
      <c r="AA38" s="75" t="s">
        <v>377</v>
      </c>
      <c r="AB38" s="79" t="n">
        <v>50</v>
      </c>
    </row>
    <row r="39" customFormat="false" ht="15.75" hidden="false" customHeight="true" outlineLevel="0" collapsed="false">
      <c r="A39" s="77" t="s">
        <v>71</v>
      </c>
      <c r="B39" s="77" t="s">
        <v>239</v>
      </c>
      <c r="C39" s="77" t="s">
        <v>35</v>
      </c>
      <c r="D39" s="77" t="s">
        <v>56</v>
      </c>
      <c r="E39" s="77" t="s">
        <v>382</v>
      </c>
      <c r="F39" s="81" t="n">
        <v>50</v>
      </c>
      <c r="G39" s="77" t="s">
        <v>376</v>
      </c>
      <c r="H39" s="81" t="n">
        <v>75</v>
      </c>
      <c r="I39" s="77" t="s">
        <v>384</v>
      </c>
      <c r="J39" s="81" t="n">
        <v>25</v>
      </c>
      <c r="K39" s="77" t="s">
        <v>385</v>
      </c>
      <c r="L39" s="81" t="n">
        <v>25</v>
      </c>
      <c r="M39" s="77" t="s">
        <v>379</v>
      </c>
      <c r="N39" s="81" t="n">
        <v>75</v>
      </c>
      <c r="O39" s="77" t="s">
        <v>384</v>
      </c>
      <c r="P39" s="81" t="n">
        <v>50</v>
      </c>
      <c r="Q39" s="77" t="s">
        <v>380</v>
      </c>
      <c r="R39" s="81" t="n">
        <v>100</v>
      </c>
      <c r="S39" s="77" t="s">
        <v>382</v>
      </c>
      <c r="T39" s="81" t="n">
        <v>50</v>
      </c>
      <c r="U39" s="77" t="s">
        <v>382</v>
      </c>
      <c r="V39" s="81" t="n">
        <v>50</v>
      </c>
      <c r="W39" s="77" t="s">
        <v>374</v>
      </c>
      <c r="X39" s="81" t="n">
        <v>100</v>
      </c>
      <c r="Y39" s="77" t="s">
        <v>378</v>
      </c>
      <c r="Z39" s="81" t="n">
        <v>100</v>
      </c>
      <c r="AA39" s="77" t="s">
        <v>373</v>
      </c>
      <c r="AB39" s="81" t="n">
        <v>50</v>
      </c>
    </row>
    <row r="40" customFormat="false" ht="15.75" hidden="false" customHeight="true" outlineLevel="0" collapsed="false">
      <c r="A40" s="75" t="s">
        <v>240</v>
      </c>
      <c r="B40" s="75" t="s">
        <v>206</v>
      </c>
      <c r="C40" s="75" t="s">
        <v>41</v>
      </c>
      <c r="D40" s="75" t="s">
        <v>56</v>
      </c>
      <c r="E40" s="75" t="s">
        <v>381</v>
      </c>
      <c r="F40" s="79" t="n">
        <v>75</v>
      </c>
      <c r="G40" s="75" t="s">
        <v>384</v>
      </c>
      <c r="H40" s="79" t="n">
        <v>100</v>
      </c>
      <c r="I40" s="75" t="s">
        <v>377</v>
      </c>
      <c r="J40" s="79" t="n">
        <v>50</v>
      </c>
      <c r="K40" s="75" t="s">
        <v>375</v>
      </c>
      <c r="L40" s="79" t="n">
        <v>100</v>
      </c>
      <c r="M40" s="75" t="s">
        <v>377</v>
      </c>
      <c r="N40" s="79" t="n">
        <v>75</v>
      </c>
      <c r="O40" s="75" t="s">
        <v>379</v>
      </c>
      <c r="P40" s="79" t="n">
        <v>100</v>
      </c>
      <c r="Q40" s="75" t="s">
        <v>381</v>
      </c>
      <c r="R40" s="79" t="n">
        <v>75</v>
      </c>
      <c r="S40" s="75" t="s">
        <v>384</v>
      </c>
      <c r="T40" s="79" t="n">
        <v>100</v>
      </c>
      <c r="U40" s="75" t="s">
        <v>385</v>
      </c>
      <c r="V40" s="79" t="n">
        <v>100</v>
      </c>
      <c r="W40" s="75" t="s">
        <v>382</v>
      </c>
      <c r="X40" s="79" t="n">
        <v>50</v>
      </c>
      <c r="Y40" s="75" t="s">
        <v>384</v>
      </c>
      <c r="Z40" s="79" t="n">
        <v>50</v>
      </c>
      <c r="AA40" s="75" t="s">
        <v>375</v>
      </c>
      <c r="AB40" s="79" t="n">
        <v>25</v>
      </c>
    </row>
    <row r="41" customFormat="false" ht="15.75" hidden="false" customHeight="true" outlineLevel="0" collapsed="false">
      <c r="A41" s="77" t="s">
        <v>242</v>
      </c>
      <c r="B41" s="77" t="s">
        <v>243</v>
      </c>
      <c r="C41" s="77" t="s">
        <v>33</v>
      </c>
      <c r="D41" s="77" t="s">
        <v>56</v>
      </c>
      <c r="E41" s="77" t="s">
        <v>379</v>
      </c>
      <c r="F41" s="81" t="n">
        <v>100</v>
      </c>
      <c r="G41" s="77" t="s">
        <v>373</v>
      </c>
      <c r="H41" s="81" t="n">
        <v>25</v>
      </c>
      <c r="I41" s="77" t="s">
        <v>374</v>
      </c>
      <c r="J41" s="81" t="n">
        <v>25</v>
      </c>
      <c r="K41" s="77" t="s">
        <v>375</v>
      </c>
      <c r="L41" s="81" t="n">
        <v>25</v>
      </c>
      <c r="M41" s="77" t="s">
        <v>384</v>
      </c>
      <c r="N41" s="81" t="n">
        <v>50</v>
      </c>
      <c r="O41" s="77" t="s">
        <v>375</v>
      </c>
      <c r="P41" s="81" t="n">
        <v>100</v>
      </c>
      <c r="Q41" s="77" t="s">
        <v>385</v>
      </c>
      <c r="R41" s="81" t="n">
        <v>50</v>
      </c>
      <c r="S41" s="77" t="s">
        <v>383</v>
      </c>
      <c r="T41" s="81" t="n">
        <v>25</v>
      </c>
      <c r="U41" s="77" t="s">
        <v>377</v>
      </c>
      <c r="V41" s="81" t="n">
        <v>100</v>
      </c>
      <c r="W41" s="77" t="s">
        <v>373</v>
      </c>
      <c r="X41" s="81" t="n">
        <v>25</v>
      </c>
      <c r="Y41" s="77" t="s">
        <v>383</v>
      </c>
      <c r="Z41" s="81" t="n">
        <v>25</v>
      </c>
      <c r="AA41" s="77" t="s">
        <v>383</v>
      </c>
      <c r="AB41" s="81" t="n">
        <v>75</v>
      </c>
    </row>
    <row r="42" customFormat="false" ht="15.75" hidden="false" customHeight="true" outlineLevel="0" collapsed="false">
      <c r="A42" s="75" t="s">
        <v>84</v>
      </c>
      <c r="B42" s="75" t="s">
        <v>244</v>
      </c>
      <c r="C42" s="75" t="s">
        <v>35</v>
      </c>
      <c r="D42" s="75" t="s">
        <v>56</v>
      </c>
      <c r="E42" s="75" t="s">
        <v>377</v>
      </c>
      <c r="F42" s="79" t="n">
        <v>100</v>
      </c>
      <c r="G42" s="75" t="s">
        <v>376</v>
      </c>
      <c r="H42" s="79" t="n">
        <v>75</v>
      </c>
      <c r="I42" s="75" t="s">
        <v>377</v>
      </c>
      <c r="J42" s="79" t="n">
        <v>25</v>
      </c>
      <c r="K42" s="75" t="s">
        <v>373</v>
      </c>
      <c r="L42" s="79" t="n">
        <v>25</v>
      </c>
      <c r="M42" s="75" t="s">
        <v>374</v>
      </c>
      <c r="N42" s="79" t="n">
        <v>75</v>
      </c>
      <c r="O42" s="75" t="s">
        <v>384</v>
      </c>
      <c r="P42" s="79" t="n">
        <v>50</v>
      </c>
      <c r="Q42" s="75" t="s">
        <v>382</v>
      </c>
      <c r="R42" s="79" t="n">
        <v>25</v>
      </c>
      <c r="S42" s="75" t="s">
        <v>375</v>
      </c>
      <c r="T42" s="79" t="n">
        <v>100</v>
      </c>
      <c r="U42" s="75" t="s">
        <v>374</v>
      </c>
      <c r="V42" s="79" t="n">
        <v>50</v>
      </c>
      <c r="W42" s="75" t="s">
        <v>384</v>
      </c>
      <c r="X42" s="79" t="n">
        <v>100</v>
      </c>
      <c r="Y42" s="75" t="s">
        <v>381</v>
      </c>
      <c r="Z42" s="79" t="n">
        <v>25</v>
      </c>
      <c r="AA42" s="75" t="s">
        <v>376</v>
      </c>
      <c r="AB42" s="79" t="n">
        <v>25</v>
      </c>
    </row>
    <row r="43" customFormat="false" ht="15.75" hidden="false" customHeight="true" outlineLevel="0" collapsed="false">
      <c r="A43" s="77" t="s">
        <v>89</v>
      </c>
      <c r="B43" s="77" t="s">
        <v>246</v>
      </c>
      <c r="C43" s="77" t="s">
        <v>33</v>
      </c>
      <c r="D43" s="77" t="s">
        <v>56</v>
      </c>
      <c r="E43" s="77" t="s">
        <v>375</v>
      </c>
      <c r="F43" s="81" t="n">
        <v>50</v>
      </c>
      <c r="G43" s="77" t="s">
        <v>382</v>
      </c>
      <c r="H43" s="81" t="n">
        <v>100</v>
      </c>
      <c r="I43" s="77" t="s">
        <v>376</v>
      </c>
      <c r="J43" s="81" t="n">
        <v>75</v>
      </c>
      <c r="K43" s="77" t="s">
        <v>377</v>
      </c>
      <c r="L43" s="81" t="n">
        <v>75</v>
      </c>
      <c r="M43" s="77" t="s">
        <v>376</v>
      </c>
      <c r="N43" s="81" t="n">
        <v>25</v>
      </c>
      <c r="O43" s="77" t="s">
        <v>377</v>
      </c>
      <c r="P43" s="81" t="n">
        <v>100</v>
      </c>
      <c r="Q43" s="77" t="s">
        <v>379</v>
      </c>
      <c r="R43" s="81" t="n">
        <v>100</v>
      </c>
      <c r="S43" s="77" t="s">
        <v>376</v>
      </c>
      <c r="T43" s="81" t="n">
        <v>25</v>
      </c>
      <c r="U43" s="77" t="s">
        <v>381</v>
      </c>
      <c r="V43" s="81" t="n">
        <v>25</v>
      </c>
      <c r="W43" s="77" t="s">
        <v>379</v>
      </c>
      <c r="X43" s="81" t="n">
        <v>50</v>
      </c>
      <c r="Y43" s="77" t="s">
        <v>374</v>
      </c>
      <c r="Z43" s="81" t="n">
        <v>50</v>
      </c>
      <c r="AA43" s="77" t="s">
        <v>375</v>
      </c>
      <c r="AB43" s="81" t="n">
        <v>100</v>
      </c>
    </row>
    <row r="44" customFormat="false" ht="15.75" hidden="false" customHeight="true" outlineLevel="0" collapsed="false">
      <c r="A44" s="75" t="s">
        <v>248</v>
      </c>
      <c r="B44" s="75" t="s">
        <v>249</v>
      </c>
      <c r="C44" s="75" t="s">
        <v>35</v>
      </c>
      <c r="D44" s="75" t="s">
        <v>56</v>
      </c>
      <c r="E44" s="75" t="s">
        <v>378</v>
      </c>
      <c r="F44" s="79" t="n">
        <v>75</v>
      </c>
      <c r="G44" s="75" t="s">
        <v>377</v>
      </c>
      <c r="H44" s="79" t="n">
        <v>100</v>
      </c>
      <c r="I44" s="75" t="s">
        <v>382</v>
      </c>
      <c r="J44" s="79" t="n">
        <v>25</v>
      </c>
      <c r="K44" s="75" t="s">
        <v>385</v>
      </c>
      <c r="L44" s="79" t="n">
        <v>75</v>
      </c>
      <c r="M44" s="75" t="s">
        <v>376</v>
      </c>
      <c r="N44" s="79" t="n">
        <v>25</v>
      </c>
      <c r="O44" s="75" t="s">
        <v>383</v>
      </c>
      <c r="P44" s="79" t="n">
        <v>100</v>
      </c>
      <c r="Q44" s="75" t="s">
        <v>378</v>
      </c>
      <c r="R44" s="79" t="n">
        <v>100</v>
      </c>
      <c r="S44" s="75" t="s">
        <v>373</v>
      </c>
      <c r="T44" s="79" t="n">
        <v>75</v>
      </c>
      <c r="U44" s="75" t="s">
        <v>374</v>
      </c>
      <c r="V44" s="79" t="n">
        <v>25</v>
      </c>
      <c r="W44" s="75" t="s">
        <v>373</v>
      </c>
      <c r="X44" s="79" t="n">
        <v>25</v>
      </c>
      <c r="Y44" s="75" t="s">
        <v>373</v>
      </c>
      <c r="Z44" s="79" t="n">
        <v>50</v>
      </c>
      <c r="AA44" s="75" t="s">
        <v>374</v>
      </c>
      <c r="AB44" s="79" t="n">
        <v>25</v>
      </c>
    </row>
    <row r="45" customFormat="false" ht="15.75" hidden="false" customHeight="true" outlineLevel="0" collapsed="false">
      <c r="A45" s="77" t="s">
        <v>81</v>
      </c>
      <c r="B45" s="77" t="s">
        <v>250</v>
      </c>
      <c r="C45" s="77" t="s">
        <v>42</v>
      </c>
      <c r="D45" s="77" t="s">
        <v>56</v>
      </c>
      <c r="E45" s="77" t="s">
        <v>384</v>
      </c>
      <c r="F45" s="81" t="n">
        <v>75</v>
      </c>
      <c r="G45" s="77" t="s">
        <v>382</v>
      </c>
      <c r="H45" s="81" t="n">
        <v>25</v>
      </c>
      <c r="I45" s="77" t="s">
        <v>373</v>
      </c>
      <c r="J45" s="81" t="n">
        <v>75</v>
      </c>
      <c r="K45" s="77" t="s">
        <v>379</v>
      </c>
      <c r="L45" s="81" t="n">
        <v>50</v>
      </c>
      <c r="M45" s="77" t="s">
        <v>384</v>
      </c>
      <c r="N45" s="81" t="n">
        <v>100</v>
      </c>
      <c r="O45" s="77" t="s">
        <v>374</v>
      </c>
      <c r="P45" s="81" t="n">
        <v>100</v>
      </c>
      <c r="Q45" s="77" t="s">
        <v>379</v>
      </c>
      <c r="R45" s="81" t="n">
        <v>50</v>
      </c>
      <c r="S45" s="77" t="s">
        <v>384</v>
      </c>
      <c r="T45" s="81" t="n">
        <v>50</v>
      </c>
      <c r="U45" s="77" t="s">
        <v>376</v>
      </c>
      <c r="V45" s="81" t="n">
        <v>100</v>
      </c>
      <c r="W45" s="77" t="s">
        <v>378</v>
      </c>
      <c r="X45" s="81" t="n">
        <v>75</v>
      </c>
      <c r="Y45" s="77" t="s">
        <v>377</v>
      </c>
      <c r="Z45" s="81" t="n">
        <v>25</v>
      </c>
      <c r="AA45" s="77" t="s">
        <v>384</v>
      </c>
      <c r="AB45" s="81" t="n">
        <v>50</v>
      </c>
    </row>
    <row r="46" customFormat="false" ht="15.75" hidden="false" customHeight="true" outlineLevel="0" collapsed="false">
      <c r="A46" s="75" t="s">
        <v>251</v>
      </c>
      <c r="B46" s="75" t="s">
        <v>252</v>
      </c>
      <c r="C46" s="75" t="s">
        <v>39</v>
      </c>
      <c r="D46" s="75" t="s">
        <v>56</v>
      </c>
      <c r="E46" s="75" t="s">
        <v>378</v>
      </c>
      <c r="F46" s="79" t="n">
        <v>75</v>
      </c>
      <c r="G46" s="75" t="s">
        <v>375</v>
      </c>
      <c r="H46" s="79" t="n">
        <v>100</v>
      </c>
      <c r="I46" s="75" t="s">
        <v>385</v>
      </c>
      <c r="J46" s="79" t="n">
        <v>100</v>
      </c>
      <c r="K46" s="75" t="s">
        <v>375</v>
      </c>
      <c r="L46" s="79" t="n">
        <v>25</v>
      </c>
      <c r="M46" s="75" t="s">
        <v>384</v>
      </c>
      <c r="N46" s="79" t="n">
        <v>50</v>
      </c>
      <c r="O46" s="75" t="s">
        <v>375</v>
      </c>
      <c r="P46" s="79" t="n">
        <v>75</v>
      </c>
      <c r="Q46" s="75" t="s">
        <v>384</v>
      </c>
      <c r="R46" s="79" t="n">
        <v>25</v>
      </c>
      <c r="S46" s="75" t="s">
        <v>379</v>
      </c>
      <c r="T46" s="79" t="n">
        <v>75</v>
      </c>
      <c r="U46" s="75" t="s">
        <v>375</v>
      </c>
      <c r="V46" s="79" t="n">
        <v>25</v>
      </c>
      <c r="W46" s="75" t="s">
        <v>384</v>
      </c>
      <c r="X46" s="79" t="n">
        <v>75</v>
      </c>
      <c r="Y46" s="75" t="s">
        <v>383</v>
      </c>
      <c r="Z46" s="79" t="n">
        <v>100</v>
      </c>
      <c r="AA46" s="75" t="s">
        <v>374</v>
      </c>
      <c r="AB46" s="79" t="n">
        <v>100</v>
      </c>
    </row>
    <row r="47" customFormat="false" ht="15.75" hidden="false" customHeight="true" outlineLevel="0" collapsed="false">
      <c r="A47" s="77" t="s">
        <v>253</v>
      </c>
      <c r="B47" s="77" t="s">
        <v>254</v>
      </c>
      <c r="C47" s="77" t="s">
        <v>42</v>
      </c>
      <c r="D47" s="77" t="s">
        <v>56</v>
      </c>
      <c r="E47" s="77" t="s">
        <v>383</v>
      </c>
      <c r="F47" s="81" t="n">
        <v>75</v>
      </c>
      <c r="G47" s="77" t="s">
        <v>382</v>
      </c>
      <c r="H47" s="81" t="n">
        <v>100</v>
      </c>
      <c r="I47" s="77" t="s">
        <v>374</v>
      </c>
      <c r="J47" s="81" t="n">
        <v>100</v>
      </c>
      <c r="K47" s="77" t="s">
        <v>373</v>
      </c>
      <c r="L47" s="81" t="n">
        <v>75</v>
      </c>
      <c r="M47" s="77" t="s">
        <v>384</v>
      </c>
      <c r="N47" s="81" t="n">
        <v>25</v>
      </c>
      <c r="O47" s="77" t="s">
        <v>374</v>
      </c>
      <c r="P47" s="81" t="n">
        <v>100</v>
      </c>
      <c r="Q47" s="77" t="s">
        <v>376</v>
      </c>
      <c r="R47" s="81" t="n">
        <v>100</v>
      </c>
      <c r="S47" s="77" t="s">
        <v>380</v>
      </c>
      <c r="T47" s="81" t="n">
        <v>50</v>
      </c>
      <c r="U47" s="77" t="s">
        <v>385</v>
      </c>
      <c r="V47" s="81" t="n">
        <v>75</v>
      </c>
      <c r="W47" s="77" t="s">
        <v>373</v>
      </c>
      <c r="X47" s="81" t="n">
        <v>25</v>
      </c>
      <c r="Y47" s="77" t="s">
        <v>376</v>
      </c>
      <c r="Z47" s="81" t="n">
        <v>75</v>
      </c>
      <c r="AA47" s="77" t="s">
        <v>379</v>
      </c>
      <c r="AB47" s="81" t="n">
        <v>75</v>
      </c>
    </row>
    <row r="48" customFormat="false" ht="15.75" hidden="false" customHeight="true" outlineLevel="0" collapsed="false">
      <c r="A48" s="75" t="s">
        <v>57</v>
      </c>
      <c r="B48" s="75" t="s">
        <v>256</v>
      </c>
      <c r="C48" s="75" t="s">
        <v>39</v>
      </c>
      <c r="D48" s="75" t="s">
        <v>56</v>
      </c>
      <c r="E48" s="75" t="s">
        <v>375</v>
      </c>
      <c r="F48" s="79" t="n">
        <v>100</v>
      </c>
      <c r="G48" s="75" t="s">
        <v>380</v>
      </c>
      <c r="H48" s="79" t="n">
        <v>100</v>
      </c>
      <c r="I48" s="75" t="s">
        <v>382</v>
      </c>
      <c r="J48" s="79" t="n">
        <v>100</v>
      </c>
      <c r="K48" s="75" t="s">
        <v>373</v>
      </c>
      <c r="L48" s="79" t="n">
        <v>100</v>
      </c>
      <c r="M48" s="75" t="s">
        <v>378</v>
      </c>
      <c r="N48" s="79" t="n">
        <v>75</v>
      </c>
      <c r="O48" s="75" t="s">
        <v>380</v>
      </c>
      <c r="P48" s="79" t="n">
        <v>100</v>
      </c>
      <c r="Q48" s="75" t="s">
        <v>375</v>
      </c>
      <c r="R48" s="79" t="n">
        <v>25</v>
      </c>
      <c r="S48" s="75" t="s">
        <v>376</v>
      </c>
      <c r="T48" s="79" t="n">
        <v>100</v>
      </c>
      <c r="U48" s="75" t="s">
        <v>373</v>
      </c>
      <c r="V48" s="79" t="n">
        <v>50</v>
      </c>
      <c r="W48" s="75" t="s">
        <v>378</v>
      </c>
      <c r="X48" s="79" t="n">
        <v>50</v>
      </c>
      <c r="Y48" s="75" t="s">
        <v>380</v>
      </c>
      <c r="Z48" s="79" t="n">
        <v>100</v>
      </c>
      <c r="AA48" s="75" t="s">
        <v>378</v>
      </c>
      <c r="AB48" s="79" t="n">
        <v>50</v>
      </c>
    </row>
    <row r="49" customFormat="false" ht="15.75" hidden="false" customHeight="true" outlineLevel="0" collapsed="false">
      <c r="A49" s="77" t="s">
        <v>74</v>
      </c>
      <c r="B49" s="77" t="s">
        <v>258</v>
      </c>
      <c r="C49" s="77" t="s">
        <v>37</v>
      </c>
      <c r="D49" s="77" t="s">
        <v>56</v>
      </c>
      <c r="E49" s="77" t="s">
        <v>376</v>
      </c>
      <c r="F49" s="81" t="n">
        <v>50</v>
      </c>
      <c r="G49" s="77" t="s">
        <v>384</v>
      </c>
      <c r="H49" s="81" t="n">
        <v>75</v>
      </c>
      <c r="I49" s="77" t="s">
        <v>373</v>
      </c>
      <c r="J49" s="81" t="n">
        <v>100</v>
      </c>
      <c r="K49" s="77" t="s">
        <v>380</v>
      </c>
      <c r="L49" s="81" t="n">
        <v>25</v>
      </c>
      <c r="M49" s="77" t="s">
        <v>380</v>
      </c>
      <c r="N49" s="81" t="n">
        <v>50</v>
      </c>
      <c r="O49" s="77" t="s">
        <v>379</v>
      </c>
      <c r="P49" s="81" t="n">
        <v>100</v>
      </c>
      <c r="Q49" s="77" t="s">
        <v>373</v>
      </c>
      <c r="R49" s="81" t="n">
        <v>75</v>
      </c>
      <c r="S49" s="77" t="s">
        <v>381</v>
      </c>
      <c r="T49" s="81" t="n">
        <v>25</v>
      </c>
      <c r="U49" s="77" t="s">
        <v>380</v>
      </c>
      <c r="V49" s="81" t="n">
        <v>50</v>
      </c>
      <c r="W49" s="77" t="s">
        <v>385</v>
      </c>
      <c r="X49" s="81" t="n">
        <v>75</v>
      </c>
      <c r="Y49" s="77" t="s">
        <v>383</v>
      </c>
      <c r="Z49" s="81" t="n">
        <v>75</v>
      </c>
      <c r="AA49" s="77" t="s">
        <v>379</v>
      </c>
      <c r="AB49" s="81" t="n">
        <v>75</v>
      </c>
    </row>
    <row r="50" customFormat="false" ht="15.75" hidden="false" customHeight="true" outlineLevel="0" collapsed="false">
      <c r="A50" s="75" t="s">
        <v>58</v>
      </c>
      <c r="B50" s="75" t="s">
        <v>259</v>
      </c>
      <c r="C50" s="75" t="s">
        <v>42</v>
      </c>
      <c r="D50" s="75" t="s">
        <v>56</v>
      </c>
      <c r="E50" s="75" t="s">
        <v>377</v>
      </c>
      <c r="F50" s="79" t="n">
        <v>25</v>
      </c>
      <c r="G50" s="75" t="s">
        <v>378</v>
      </c>
      <c r="H50" s="79" t="n">
        <v>50</v>
      </c>
      <c r="I50" s="75" t="s">
        <v>381</v>
      </c>
      <c r="J50" s="79" t="n">
        <v>100</v>
      </c>
      <c r="K50" s="75" t="s">
        <v>385</v>
      </c>
      <c r="L50" s="79" t="n">
        <v>25</v>
      </c>
      <c r="M50" s="75" t="s">
        <v>375</v>
      </c>
      <c r="N50" s="79" t="n">
        <v>75</v>
      </c>
      <c r="O50" s="75" t="s">
        <v>374</v>
      </c>
      <c r="P50" s="79" t="n">
        <v>100</v>
      </c>
      <c r="Q50" s="75" t="s">
        <v>377</v>
      </c>
      <c r="R50" s="79" t="n">
        <v>75</v>
      </c>
      <c r="S50" s="75" t="s">
        <v>374</v>
      </c>
      <c r="T50" s="79" t="n">
        <v>100</v>
      </c>
      <c r="U50" s="75" t="s">
        <v>377</v>
      </c>
      <c r="V50" s="79" t="n">
        <v>25</v>
      </c>
      <c r="W50" s="75" t="s">
        <v>382</v>
      </c>
      <c r="X50" s="79" t="n">
        <v>25</v>
      </c>
      <c r="Y50" s="75" t="s">
        <v>381</v>
      </c>
      <c r="Z50" s="79" t="n">
        <v>50</v>
      </c>
      <c r="AA50" s="75" t="s">
        <v>374</v>
      </c>
      <c r="AB50" s="79" t="n">
        <v>100</v>
      </c>
    </row>
    <row r="51" customFormat="false" ht="15.75" hidden="false" customHeight="true" outlineLevel="0" collapsed="false">
      <c r="A51" s="77" t="s">
        <v>73</v>
      </c>
      <c r="B51" s="77" t="s">
        <v>260</v>
      </c>
      <c r="C51" s="77" t="s">
        <v>42</v>
      </c>
      <c r="D51" s="77" t="s">
        <v>56</v>
      </c>
      <c r="E51" s="77" t="s">
        <v>376</v>
      </c>
      <c r="F51" s="81" t="n">
        <v>75</v>
      </c>
      <c r="G51" s="77" t="s">
        <v>379</v>
      </c>
      <c r="H51" s="81" t="n">
        <v>75</v>
      </c>
      <c r="I51" s="77" t="s">
        <v>374</v>
      </c>
      <c r="J51" s="81" t="n">
        <v>25</v>
      </c>
      <c r="K51" s="77" t="s">
        <v>385</v>
      </c>
      <c r="L51" s="81" t="n">
        <v>75</v>
      </c>
      <c r="M51" s="77" t="s">
        <v>375</v>
      </c>
      <c r="N51" s="81" t="n">
        <v>50</v>
      </c>
      <c r="O51" s="77" t="s">
        <v>374</v>
      </c>
      <c r="P51" s="81" t="n">
        <v>50</v>
      </c>
      <c r="Q51" s="77" t="s">
        <v>384</v>
      </c>
      <c r="R51" s="81" t="n">
        <v>75</v>
      </c>
      <c r="S51" s="77" t="s">
        <v>385</v>
      </c>
      <c r="T51" s="81" t="n">
        <v>50</v>
      </c>
      <c r="U51" s="77" t="s">
        <v>376</v>
      </c>
      <c r="V51" s="81" t="n">
        <v>50</v>
      </c>
      <c r="W51" s="77" t="s">
        <v>384</v>
      </c>
      <c r="X51" s="81" t="n">
        <v>50</v>
      </c>
      <c r="Y51" s="77" t="s">
        <v>377</v>
      </c>
      <c r="Z51" s="81" t="n">
        <v>100</v>
      </c>
      <c r="AA51" s="77" t="s">
        <v>378</v>
      </c>
      <c r="AB51" s="81" t="n">
        <v>75</v>
      </c>
    </row>
    <row r="52" customFormat="false" ht="15.75" hidden="false" customHeight="true" outlineLevel="0" collapsed="false">
      <c r="A52" s="75" t="s">
        <v>261</v>
      </c>
      <c r="B52" s="75" t="s">
        <v>262</v>
      </c>
      <c r="C52" s="75" t="s">
        <v>37</v>
      </c>
      <c r="D52" s="75" t="s">
        <v>56</v>
      </c>
      <c r="E52" s="75" t="s">
        <v>385</v>
      </c>
      <c r="F52" s="79" t="n">
        <v>75</v>
      </c>
      <c r="G52" s="75" t="s">
        <v>381</v>
      </c>
      <c r="H52" s="79" t="n">
        <v>50</v>
      </c>
      <c r="I52" s="75" t="s">
        <v>380</v>
      </c>
      <c r="J52" s="79" t="n">
        <v>25</v>
      </c>
      <c r="K52" s="75" t="s">
        <v>376</v>
      </c>
      <c r="L52" s="79" t="n">
        <v>75</v>
      </c>
      <c r="M52" s="75" t="s">
        <v>383</v>
      </c>
      <c r="N52" s="79" t="n">
        <v>100</v>
      </c>
      <c r="O52" s="75" t="s">
        <v>385</v>
      </c>
      <c r="P52" s="79" t="n">
        <v>100</v>
      </c>
      <c r="Q52" s="75" t="s">
        <v>384</v>
      </c>
      <c r="R52" s="79" t="n">
        <v>100</v>
      </c>
      <c r="S52" s="75" t="s">
        <v>380</v>
      </c>
      <c r="T52" s="79" t="n">
        <v>25</v>
      </c>
      <c r="U52" s="75" t="s">
        <v>382</v>
      </c>
      <c r="V52" s="79" t="n">
        <v>75</v>
      </c>
      <c r="W52" s="75" t="s">
        <v>379</v>
      </c>
      <c r="X52" s="79" t="n">
        <v>25</v>
      </c>
      <c r="Y52" s="75" t="s">
        <v>381</v>
      </c>
      <c r="Z52" s="79" t="n">
        <v>100</v>
      </c>
      <c r="AA52" s="75" t="s">
        <v>379</v>
      </c>
      <c r="AB52" s="79" t="n">
        <v>75</v>
      </c>
    </row>
    <row r="53" customFormat="false" ht="15.75" hidden="false" customHeight="true" outlineLevel="0" collapsed="false">
      <c r="A53" s="77" t="s">
        <v>263</v>
      </c>
      <c r="B53" s="77" t="s">
        <v>264</v>
      </c>
      <c r="C53" s="77" t="s">
        <v>46</v>
      </c>
      <c r="D53" s="77" t="s">
        <v>56</v>
      </c>
      <c r="E53" s="77" t="s">
        <v>382</v>
      </c>
      <c r="F53" s="81" t="n">
        <v>50</v>
      </c>
      <c r="G53" s="77" t="s">
        <v>384</v>
      </c>
      <c r="H53" s="81" t="n">
        <v>50</v>
      </c>
      <c r="I53" s="77" t="s">
        <v>383</v>
      </c>
      <c r="J53" s="81" t="n">
        <v>25</v>
      </c>
      <c r="K53" s="77" t="s">
        <v>376</v>
      </c>
      <c r="L53" s="81" t="n">
        <v>50</v>
      </c>
      <c r="M53" s="77" t="s">
        <v>375</v>
      </c>
      <c r="N53" s="81" t="n">
        <v>50</v>
      </c>
      <c r="O53" s="77" t="s">
        <v>382</v>
      </c>
      <c r="P53" s="81" t="n">
        <v>75</v>
      </c>
      <c r="Q53" s="77" t="s">
        <v>374</v>
      </c>
      <c r="R53" s="81" t="n">
        <v>50</v>
      </c>
      <c r="S53" s="77" t="s">
        <v>373</v>
      </c>
      <c r="T53" s="81" t="n">
        <v>75</v>
      </c>
      <c r="U53" s="77" t="s">
        <v>376</v>
      </c>
      <c r="V53" s="81" t="n">
        <v>75</v>
      </c>
      <c r="W53" s="77" t="s">
        <v>377</v>
      </c>
      <c r="X53" s="81" t="n">
        <v>75</v>
      </c>
      <c r="Y53" s="77" t="s">
        <v>382</v>
      </c>
      <c r="Z53" s="81" t="n">
        <v>75</v>
      </c>
      <c r="AA53" s="77" t="s">
        <v>380</v>
      </c>
      <c r="AB53" s="81" t="n">
        <v>25</v>
      </c>
    </row>
    <row r="54" customFormat="false" ht="15.75" hidden="false" customHeight="true" outlineLevel="0" collapsed="false">
      <c r="A54" s="75" t="s">
        <v>266</v>
      </c>
      <c r="B54" s="75" t="s">
        <v>267</v>
      </c>
      <c r="C54" s="75" t="s">
        <v>35</v>
      </c>
      <c r="D54" s="75" t="s">
        <v>56</v>
      </c>
      <c r="E54" s="75" t="s">
        <v>385</v>
      </c>
      <c r="F54" s="79" t="n">
        <v>50</v>
      </c>
      <c r="G54" s="75" t="s">
        <v>380</v>
      </c>
      <c r="H54" s="79" t="n">
        <v>50</v>
      </c>
      <c r="I54" s="75" t="s">
        <v>382</v>
      </c>
      <c r="J54" s="79" t="n">
        <v>75</v>
      </c>
      <c r="K54" s="75" t="s">
        <v>380</v>
      </c>
      <c r="L54" s="79" t="n">
        <v>25</v>
      </c>
      <c r="M54" s="75" t="s">
        <v>378</v>
      </c>
      <c r="N54" s="79" t="n">
        <v>25</v>
      </c>
      <c r="O54" s="75" t="s">
        <v>378</v>
      </c>
      <c r="P54" s="79" t="n">
        <v>75</v>
      </c>
      <c r="Q54" s="75" t="s">
        <v>379</v>
      </c>
      <c r="R54" s="79" t="n">
        <v>50</v>
      </c>
      <c r="S54" s="75" t="s">
        <v>384</v>
      </c>
      <c r="T54" s="79" t="n">
        <v>100</v>
      </c>
      <c r="U54" s="75" t="s">
        <v>380</v>
      </c>
      <c r="V54" s="79" t="n">
        <v>25</v>
      </c>
      <c r="W54" s="75" t="s">
        <v>381</v>
      </c>
      <c r="X54" s="79" t="n">
        <v>75</v>
      </c>
      <c r="Y54" s="75" t="s">
        <v>379</v>
      </c>
      <c r="Z54" s="79" t="n">
        <v>75</v>
      </c>
      <c r="AA54" s="75" t="s">
        <v>381</v>
      </c>
      <c r="AB54" s="79" t="n">
        <v>50</v>
      </c>
    </row>
    <row r="55" customFormat="false" ht="15.75" hidden="false" customHeight="true" outlineLevel="0" collapsed="false">
      <c r="A55" s="77" t="s">
        <v>268</v>
      </c>
      <c r="B55" s="77" t="s">
        <v>269</v>
      </c>
      <c r="C55" s="77" t="s">
        <v>39</v>
      </c>
      <c r="D55" s="77" t="s">
        <v>56</v>
      </c>
      <c r="E55" s="77" t="s">
        <v>384</v>
      </c>
      <c r="F55" s="81" t="n">
        <v>100</v>
      </c>
      <c r="G55" s="77" t="s">
        <v>375</v>
      </c>
      <c r="H55" s="81" t="n">
        <v>100</v>
      </c>
      <c r="I55" s="77" t="s">
        <v>376</v>
      </c>
      <c r="J55" s="81" t="n">
        <v>25</v>
      </c>
      <c r="K55" s="77" t="s">
        <v>382</v>
      </c>
      <c r="L55" s="81" t="n">
        <v>100</v>
      </c>
      <c r="M55" s="77" t="s">
        <v>383</v>
      </c>
      <c r="N55" s="81" t="n">
        <v>100</v>
      </c>
      <c r="O55" s="77" t="s">
        <v>381</v>
      </c>
      <c r="P55" s="81" t="n">
        <v>50</v>
      </c>
      <c r="Q55" s="77" t="s">
        <v>373</v>
      </c>
      <c r="R55" s="81" t="n">
        <v>50</v>
      </c>
      <c r="S55" s="77" t="s">
        <v>373</v>
      </c>
      <c r="T55" s="81" t="n">
        <v>75</v>
      </c>
      <c r="U55" s="77" t="s">
        <v>374</v>
      </c>
      <c r="V55" s="81" t="n">
        <v>75</v>
      </c>
      <c r="W55" s="77" t="s">
        <v>383</v>
      </c>
      <c r="X55" s="81" t="n">
        <v>50</v>
      </c>
      <c r="Y55" s="77" t="s">
        <v>384</v>
      </c>
      <c r="Z55" s="81" t="n">
        <v>75</v>
      </c>
      <c r="AA55" s="77" t="s">
        <v>385</v>
      </c>
      <c r="AB55" s="81" t="n">
        <v>25</v>
      </c>
    </row>
    <row r="56" customFormat="false" ht="15.75" hidden="false" customHeight="true" outlineLevel="0" collapsed="false">
      <c r="A56" s="75" t="s">
        <v>270</v>
      </c>
      <c r="B56" s="75" t="s">
        <v>271</v>
      </c>
      <c r="C56" s="75" t="s">
        <v>41</v>
      </c>
      <c r="D56" s="75" t="s">
        <v>56</v>
      </c>
      <c r="E56" s="75" t="s">
        <v>373</v>
      </c>
      <c r="F56" s="79" t="n">
        <v>50</v>
      </c>
      <c r="G56" s="75" t="s">
        <v>381</v>
      </c>
      <c r="H56" s="79" t="n">
        <v>25</v>
      </c>
      <c r="I56" s="75" t="s">
        <v>375</v>
      </c>
      <c r="J56" s="79" t="n">
        <v>100</v>
      </c>
      <c r="K56" s="75" t="s">
        <v>377</v>
      </c>
      <c r="L56" s="79" t="n">
        <v>50</v>
      </c>
      <c r="M56" s="75" t="s">
        <v>376</v>
      </c>
      <c r="N56" s="79" t="n">
        <v>25</v>
      </c>
      <c r="O56" s="75" t="s">
        <v>375</v>
      </c>
      <c r="P56" s="79" t="n">
        <v>100</v>
      </c>
      <c r="Q56" s="75" t="s">
        <v>380</v>
      </c>
      <c r="R56" s="79" t="n">
        <v>100</v>
      </c>
      <c r="S56" s="75" t="s">
        <v>377</v>
      </c>
      <c r="T56" s="79" t="n">
        <v>50</v>
      </c>
      <c r="U56" s="75" t="s">
        <v>373</v>
      </c>
      <c r="V56" s="79" t="n">
        <v>75</v>
      </c>
      <c r="W56" s="75" t="s">
        <v>377</v>
      </c>
      <c r="X56" s="79" t="n">
        <v>50</v>
      </c>
      <c r="Y56" s="75" t="s">
        <v>381</v>
      </c>
      <c r="Z56" s="79" t="n">
        <v>100</v>
      </c>
      <c r="AA56" s="75" t="s">
        <v>381</v>
      </c>
      <c r="AB56" s="79" t="n">
        <v>75</v>
      </c>
    </row>
    <row r="57" customFormat="false" ht="15.75" hidden="false" customHeight="true" outlineLevel="0" collapsed="false">
      <c r="A57" s="77" t="s">
        <v>59</v>
      </c>
      <c r="B57" s="77" t="s">
        <v>272</v>
      </c>
      <c r="C57" s="77" t="s">
        <v>41</v>
      </c>
      <c r="D57" s="77" t="s">
        <v>56</v>
      </c>
      <c r="E57" s="77" t="s">
        <v>381</v>
      </c>
      <c r="F57" s="81" t="n">
        <v>25</v>
      </c>
      <c r="G57" s="77" t="s">
        <v>376</v>
      </c>
      <c r="H57" s="81" t="n">
        <v>100</v>
      </c>
      <c r="I57" s="77" t="s">
        <v>385</v>
      </c>
      <c r="J57" s="81" t="n">
        <v>100</v>
      </c>
      <c r="K57" s="77" t="s">
        <v>377</v>
      </c>
      <c r="L57" s="81" t="n">
        <v>50</v>
      </c>
      <c r="M57" s="77" t="s">
        <v>380</v>
      </c>
      <c r="N57" s="81" t="n">
        <v>75</v>
      </c>
      <c r="O57" s="77" t="s">
        <v>378</v>
      </c>
      <c r="P57" s="81" t="n">
        <v>25</v>
      </c>
      <c r="Q57" s="77" t="s">
        <v>375</v>
      </c>
      <c r="R57" s="81" t="n">
        <v>100</v>
      </c>
      <c r="S57" s="77" t="s">
        <v>380</v>
      </c>
      <c r="T57" s="81" t="n">
        <v>100</v>
      </c>
      <c r="U57" s="77" t="s">
        <v>375</v>
      </c>
      <c r="V57" s="81" t="n">
        <v>25</v>
      </c>
      <c r="W57" s="77" t="s">
        <v>376</v>
      </c>
      <c r="X57" s="81" t="n">
        <v>100</v>
      </c>
      <c r="Y57" s="77" t="s">
        <v>382</v>
      </c>
      <c r="Z57" s="81" t="n">
        <v>75</v>
      </c>
      <c r="AA57" s="77" t="s">
        <v>374</v>
      </c>
      <c r="AB57" s="81" t="n">
        <v>75</v>
      </c>
    </row>
    <row r="58" customFormat="false" ht="15.75" hidden="false" customHeight="true" outlineLevel="0" collapsed="false">
      <c r="A58" s="75" t="s">
        <v>273</v>
      </c>
      <c r="B58" s="75" t="s">
        <v>274</v>
      </c>
      <c r="C58" s="75" t="s">
        <v>43</v>
      </c>
      <c r="D58" s="75" t="s">
        <v>56</v>
      </c>
      <c r="E58" s="75" t="s">
        <v>384</v>
      </c>
      <c r="F58" s="79" t="n">
        <v>100</v>
      </c>
      <c r="G58" s="75" t="s">
        <v>373</v>
      </c>
      <c r="H58" s="79" t="n">
        <v>25</v>
      </c>
      <c r="I58" s="75" t="s">
        <v>383</v>
      </c>
      <c r="J58" s="79" t="n">
        <v>25</v>
      </c>
      <c r="K58" s="75" t="s">
        <v>380</v>
      </c>
      <c r="L58" s="79" t="n">
        <v>50</v>
      </c>
      <c r="M58" s="75" t="s">
        <v>373</v>
      </c>
      <c r="N58" s="79" t="n">
        <v>75</v>
      </c>
      <c r="O58" s="75" t="s">
        <v>376</v>
      </c>
      <c r="P58" s="79" t="n">
        <v>100</v>
      </c>
      <c r="Q58" s="75" t="s">
        <v>385</v>
      </c>
      <c r="R58" s="79" t="n">
        <v>100</v>
      </c>
      <c r="S58" s="75" t="s">
        <v>384</v>
      </c>
      <c r="T58" s="79" t="n">
        <v>75</v>
      </c>
      <c r="U58" s="75" t="s">
        <v>380</v>
      </c>
      <c r="V58" s="79" t="n">
        <v>25</v>
      </c>
      <c r="W58" s="75" t="s">
        <v>382</v>
      </c>
      <c r="X58" s="79" t="n">
        <v>25</v>
      </c>
      <c r="Y58" s="75" t="s">
        <v>383</v>
      </c>
      <c r="Z58" s="79" t="n">
        <v>75</v>
      </c>
      <c r="AA58" s="75" t="s">
        <v>384</v>
      </c>
      <c r="AB58" s="79" t="n">
        <v>75</v>
      </c>
    </row>
    <row r="59" customFormat="false" ht="15.75" hidden="false" customHeight="true" outlineLevel="0" collapsed="false">
      <c r="A59" s="77" t="s">
        <v>60</v>
      </c>
      <c r="B59" s="77" t="s">
        <v>275</v>
      </c>
      <c r="C59" s="77" t="s">
        <v>35</v>
      </c>
      <c r="D59" s="77" t="s">
        <v>56</v>
      </c>
      <c r="E59" s="77" t="s">
        <v>385</v>
      </c>
      <c r="F59" s="81" t="n">
        <v>75</v>
      </c>
      <c r="G59" s="77" t="s">
        <v>384</v>
      </c>
      <c r="H59" s="81" t="n">
        <v>50</v>
      </c>
      <c r="I59" s="77" t="s">
        <v>377</v>
      </c>
      <c r="J59" s="81" t="n">
        <v>100</v>
      </c>
      <c r="K59" s="77" t="s">
        <v>385</v>
      </c>
      <c r="L59" s="81" t="n">
        <v>25</v>
      </c>
      <c r="M59" s="77" t="s">
        <v>378</v>
      </c>
      <c r="N59" s="81" t="n">
        <v>25</v>
      </c>
      <c r="O59" s="77" t="s">
        <v>382</v>
      </c>
      <c r="P59" s="81" t="n">
        <v>75</v>
      </c>
      <c r="Q59" s="77" t="s">
        <v>384</v>
      </c>
      <c r="R59" s="81" t="n">
        <v>100</v>
      </c>
      <c r="S59" s="77" t="s">
        <v>385</v>
      </c>
      <c r="T59" s="81" t="n">
        <v>100</v>
      </c>
      <c r="U59" s="77" t="s">
        <v>382</v>
      </c>
      <c r="V59" s="81" t="n">
        <v>50</v>
      </c>
      <c r="W59" s="77" t="s">
        <v>373</v>
      </c>
      <c r="X59" s="81" t="n">
        <v>75</v>
      </c>
      <c r="Y59" s="77" t="s">
        <v>382</v>
      </c>
      <c r="Z59" s="81" t="n">
        <v>100</v>
      </c>
      <c r="AA59" s="77" t="s">
        <v>380</v>
      </c>
      <c r="AB59" s="81" t="n">
        <v>75</v>
      </c>
    </row>
    <row r="60" customFormat="false" ht="15.75" hidden="false" customHeight="true" outlineLevel="0" collapsed="false">
      <c r="A60" s="75" t="s">
        <v>276</v>
      </c>
      <c r="B60" s="75" t="s">
        <v>277</v>
      </c>
      <c r="C60" s="75" t="s">
        <v>46</v>
      </c>
      <c r="D60" s="75" t="s">
        <v>56</v>
      </c>
      <c r="E60" s="75" t="s">
        <v>380</v>
      </c>
      <c r="F60" s="79" t="n">
        <v>75</v>
      </c>
      <c r="G60" s="75" t="s">
        <v>385</v>
      </c>
      <c r="H60" s="79" t="n">
        <v>100</v>
      </c>
      <c r="I60" s="75" t="s">
        <v>374</v>
      </c>
      <c r="J60" s="79" t="n">
        <v>75</v>
      </c>
      <c r="K60" s="75" t="s">
        <v>381</v>
      </c>
      <c r="L60" s="79" t="n">
        <v>25</v>
      </c>
      <c r="M60" s="75" t="s">
        <v>373</v>
      </c>
      <c r="N60" s="79" t="n">
        <v>75</v>
      </c>
      <c r="O60" s="75" t="s">
        <v>379</v>
      </c>
      <c r="P60" s="79" t="n">
        <v>25</v>
      </c>
      <c r="Q60" s="75" t="s">
        <v>383</v>
      </c>
      <c r="R60" s="79" t="n">
        <v>75</v>
      </c>
      <c r="S60" s="75" t="s">
        <v>384</v>
      </c>
      <c r="T60" s="79" t="n">
        <v>25</v>
      </c>
      <c r="U60" s="75" t="s">
        <v>380</v>
      </c>
      <c r="V60" s="79" t="n">
        <v>100</v>
      </c>
      <c r="W60" s="75" t="s">
        <v>375</v>
      </c>
      <c r="X60" s="79" t="n">
        <v>50</v>
      </c>
      <c r="Y60" s="75" t="s">
        <v>374</v>
      </c>
      <c r="Z60" s="79" t="n">
        <v>25</v>
      </c>
      <c r="AA60" s="75" t="s">
        <v>380</v>
      </c>
      <c r="AB60" s="79" t="n">
        <v>100</v>
      </c>
    </row>
    <row r="61" customFormat="false" ht="15.75" hidden="false" customHeight="true" outlineLevel="0" collapsed="false">
      <c r="A61" s="77" t="s">
        <v>278</v>
      </c>
      <c r="B61" s="77" t="s">
        <v>279</v>
      </c>
      <c r="C61" s="77" t="s">
        <v>37</v>
      </c>
      <c r="D61" s="77" t="s">
        <v>56</v>
      </c>
      <c r="E61" s="77" t="s">
        <v>382</v>
      </c>
      <c r="F61" s="81" t="n">
        <v>100</v>
      </c>
      <c r="G61" s="77" t="s">
        <v>382</v>
      </c>
      <c r="H61" s="81" t="n">
        <v>50</v>
      </c>
      <c r="I61" s="77" t="s">
        <v>378</v>
      </c>
      <c r="J61" s="81" t="n">
        <v>25</v>
      </c>
      <c r="K61" s="77" t="s">
        <v>377</v>
      </c>
      <c r="L61" s="81" t="n">
        <v>25</v>
      </c>
      <c r="M61" s="77" t="s">
        <v>381</v>
      </c>
      <c r="N61" s="81" t="n">
        <v>75</v>
      </c>
      <c r="O61" s="77" t="s">
        <v>383</v>
      </c>
      <c r="P61" s="81" t="n">
        <v>50</v>
      </c>
      <c r="Q61" s="77" t="s">
        <v>383</v>
      </c>
      <c r="R61" s="81" t="n">
        <v>50</v>
      </c>
      <c r="S61" s="77" t="s">
        <v>383</v>
      </c>
      <c r="T61" s="81" t="n">
        <v>100</v>
      </c>
      <c r="U61" s="77" t="s">
        <v>374</v>
      </c>
      <c r="V61" s="81" t="n">
        <v>25</v>
      </c>
      <c r="W61" s="77" t="s">
        <v>374</v>
      </c>
      <c r="X61" s="81" t="n">
        <v>50</v>
      </c>
      <c r="Y61" s="77" t="s">
        <v>385</v>
      </c>
      <c r="Z61" s="81" t="n">
        <v>50</v>
      </c>
      <c r="AA61" s="77" t="s">
        <v>385</v>
      </c>
      <c r="AB61" s="81" t="n">
        <v>75</v>
      </c>
    </row>
    <row r="62" customFormat="false" ht="15.75" hidden="false" customHeight="true" outlineLevel="0" collapsed="false">
      <c r="A62" s="75" t="s">
        <v>280</v>
      </c>
      <c r="B62" s="75" t="s">
        <v>281</v>
      </c>
      <c r="C62" s="75" t="s">
        <v>46</v>
      </c>
      <c r="D62" s="75" t="s">
        <v>56</v>
      </c>
      <c r="E62" s="75" t="s">
        <v>379</v>
      </c>
      <c r="F62" s="79" t="n">
        <v>100</v>
      </c>
      <c r="G62" s="75" t="s">
        <v>385</v>
      </c>
      <c r="H62" s="79" t="n">
        <v>100</v>
      </c>
      <c r="I62" s="75" t="s">
        <v>373</v>
      </c>
      <c r="J62" s="79" t="n">
        <v>50</v>
      </c>
      <c r="K62" s="75" t="s">
        <v>381</v>
      </c>
      <c r="L62" s="79" t="n">
        <v>75</v>
      </c>
      <c r="M62" s="75" t="s">
        <v>385</v>
      </c>
      <c r="N62" s="79" t="n">
        <v>75</v>
      </c>
      <c r="O62" s="75" t="s">
        <v>379</v>
      </c>
      <c r="P62" s="79" t="n">
        <v>75</v>
      </c>
      <c r="Q62" s="75" t="s">
        <v>380</v>
      </c>
      <c r="R62" s="79" t="n">
        <v>100</v>
      </c>
      <c r="S62" s="75" t="s">
        <v>377</v>
      </c>
      <c r="T62" s="79" t="n">
        <v>50</v>
      </c>
      <c r="U62" s="75" t="s">
        <v>375</v>
      </c>
      <c r="V62" s="79" t="n">
        <v>75</v>
      </c>
      <c r="W62" s="75" t="s">
        <v>377</v>
      </c>
      <c r="X62" s="79" t="n">
        <v>75</v>
      </c>
      <c r="Y62" s="75" t="s">
        <v>384</v>
      </c>
      <c r="Z62" s="79" t="n">
        <v>75</v>
      </c>
      <c r="AA62" s="75" t="s">
        <v>374</v>
      </c>
      <c r="AB62" s="79" t="n">
        <v>50</v>
      </c>
    </row>
    <row r="63" customFormat="false" ht="15.75" hidden="false" customHeight="true" outlineLevel="0" collapsed="false">
      <c r="A63" s="77" t="s">
        <v>282</v>
      </c>
      <c r="B63" s="77" t="s">
        <v>283</v>
      </c>
      <c r="C63" s="77" t="s">
        <v>39</v>
      </c>
      <c r="D63" s="77" t="s">
        <v>56</v>
      </c>
      <c r="E63" s="77" t="s">
        <v>374</v>
      </c>
      <c r="F63" s="81" t="n">
        <v>100</v>
      </c>
      <c r="G63" s="77" t="s">
        <v>373</v>
      </c>
      <c r="H63" s="81" t="n">
        <v>100</v>
      </c>
      <c r="I63" s="77" t="s">
        <v>373</v>
      </c>
      <c r="J63" s="81" t="n">
        <v>75</v>
      </c>
      <c r="K63" s="77" t="s">
        <v>375</v>
      </c>
      <c r="L63" s="81" t="n">
        <v>25</v>
      </c>
      <c r="M63" s="77" t="s">
        <v>380</v>
      </c>
      <c r="N63" s="81" t="n">
        <v>100</v>
      </c>
      <c r="O63" s="77" t="s">
        <v>383</v>
      </c>
      <c r="P63" s="81" t="n">
        <v>75</v>
      </c>
      <c r="Q63" s="77" t="s">
        <v>384</v>
      </c>
      <c r="R63" s="81" t="n">
        <v>50</v>
      </c>
      <c r="S63" s="77" t="s">
        <v>375</v>
      </c>
      <c r="T63" s="81" t="n">
        <v>25</v>
      </c>
      <c r="U63" s="77" t="s">
        <v>375</v>
      </c>
      <c r="V63" s="81" t="n">
        <v>25</v>
      </c>
      <c r="W63" s="77" t="s">
        <v>373</v>
      </c>
      <c r="X63" s="81" t="n">
        <v>100</v>
      </c>
      <c r="Y63" s="77" t="s">
        <v>379</v>
      </c>
      <c r="Z63" s="81" t="n">
        <v>75</v>
      </c>
      <c r="AA63" s="77" t="s">
        <v>374</v>
      </c>
      <c r="AB63" s="81" t="n">
        <v>100</v>
      </c>
    </row>
    <row r="64" customFormat="false" ht="15.75" hidden="false" customHeight="true" outlineLevel="0" collapsed="false">
      <c r="A64" s="75" t="s">
        <v>284</v>
      </c>
      <c r="B64" s="75" t="s">
        <v>285</v>
      </c>
      <c r="C64" s="75" t="s">
        <v>42</v>
      </c>
      <c r="D64" s="75" t="s">
        <v>56</v>
      </c>
      <c r="E64" s="75" t="s">
        <v>377</v>
      </c>
      <c r="F64" s="79" t="n">
        <v>50</v>
      </c>
      <c r="G64" s="75" t="s">
        <v>385</v>
      </c>
      <c r="H64" s="79" t="n">
        <v>75</v>
      </c>
      <c r="I64" s="75" t="s">
        <v>385</v>
      </c>
      <c r="J64" s="79" t="n">
        <v>75</v>
      </c>
      <c r="K64" s="75" t="s">
        <v>382</v>
      </c>
      <c r="L64" s="79" t="n">
        <v>25</v>
      </c>
      <c r="M64" s="75" t="s">
        <v>380</v>
      </c>
      <c r="N64" s="79" t="n">
        <v>50</v>
      </c>
      <c r="O64" s="75" t="s">
        <v>377</v>
      </c>
      <c r="P64" s="79" t="n">
        <v>25</v>
      </c>
      <c r="Q64" s="75" t="s">
        <v>379</v>
      </c>
      <c r="R64" s="79" t="n">
        <v>50</v>
      </c>
      <c r="S64" s="75" t="s">
        <v>379</v>
      </c>
      <c r="T64" s="79" t="n">
        <v>50</v>
      </c>
      <c r="U64" s="75" t="s">
        <v>378</v>
      </c>
      <c r="V64" s="79" t="n">
        <v>25</v>
      </c>
      <c r="W64" s="75" t="s">
        <v>383</v>
      </c>
      <c r="X64" s="79" t="n">
        <v>75</v>
      </c>
      <c r="Y64" s="75" t="s">
        <v>374</v>
      </c>
      <c r="Z64" s="79" t="n">
        <v>100</v>
      </c>
      <c r="AA64" s="75" t="s">
        <v>376</v>
      </c>
      <c r="AB64" s="79" t="n">
        <v>50</v>
      </c>
    </row>
    <row r="65" customFormat="false" ht="15.75" hidden="false" customHeight="true" outlineLevel="0" collapsed="false">
      <c r="A65" s="77" t="s">
        <v>286</v>
      </c>
      <c r="B65" s="77" t="s">
        <v>287</v>
      </c>
      <c r="C65" s="77" t="s">
        <v>33</v>
      </c>
      <c r="D65" s="77" t="s">
        <v>56</v>
      </c>
      <c r="E65" s="77" t="s">
        <v>378</v>
      </c>
      <c r="F65" s="81" t="n">
        <v>50</v>
      </c>
      <c r="G65" s="77" t="s">
        <v>383</v>
      </c>
      <c r="H65" s="81" t="n">
        <v>100</v>
      </c>
      <c r="I65" s="77" t="s">
        <v>381</v>
      </c>
      <c r="J65" s="81" t="n">
        <v>50</v>
      </c>
      <c r="K65" s="77" t="s">
        <v>384</v>
      </c>
      <c r="L65" s="81" t="n">
        <v>75</v>
      </c>
      <c r="M65" s="77" t="s">
        <v>373</v>
      </c>
      <c r="N65" s="81" t="n">
        <v>75</v>
      </c>
      <c r="O65" s="77" t="s">
        <v>379</v>
      </c>
      <c r="P65" s="81" t="n">
        <v>25</v>
      </c>
      <c r="Q65" s="77" t="s">
        <v>384</v>
      </c>
      <c r="R65" s="81" t="n">
        <v>25</v>
      </c>
      <c r="S65" s="77" t="s">
        <v>379</v>
      </c>
      <c r="T65" s="81" t="n">
        <v>50</v>
      </c>
      <c r="U65" s="77" t="s">
        <v>385</v>
      </c>
      <c r="V65" s="81" t="n">
        <v>25</v>
      </c>
      <c r="W65" s="77" t="s">
        <v>382</v>
      </c>
      <c r="X65" s="81" t="n">
        <v>100</v>
      </c>
      <c r="Y65" s="77" t="s">
        <v>382</v>
      </c>
      <c r="Z65" s="81" t="n">
        <v>25</v>
      </c>
      <c r="AA65" s="77" t="s">
        <v>383</v>
      </c>
      <c r="AB65" s="81" t="n">
        <v>100</v>
      </c>
    </row>
    <row r="66" customFormat="false" ht="15.75" hidden="false" customHeight="true" outlineLevel="0" collapsed="false">
      <c r="A66" s="75" t="s">
        <v>288</v>
      </c>
      <c r="B66" s="75" t="s">
        <v>289</v>
      </c>
      <c r="C66" s="75" t="s">
        <v>43</v>
      </c>
      <c r="D66" s="75" t="s">
        <v>56</v>
      </c>
      <c r="E66" s="75" t="s">
        <v>382</v>
      </c>
      <c r="F66" s="79" t="n">
        <v>75</v>
      </c>
      <c r="G66" s="75" t="s">
        <v>378</v>
      </c>
      <c r="H66" s="79" t="n">
        <v>25</v>
      </c>
      <c r="I66" s="75" t="s">
        <v>375</v>
      </c>
      <c r="J66" s="79" t="n">
        <v>25</v>
      </c>
      <c r="K66" s="75" t="s">
        <v>373</v>
      </c>
      <c r="L66" s="79" t="n">
        <v>75</v>
      </c>
      <c r="M66" s="75" t="s">
        <v>381</v>
      </c>
      <c r="N66" s="79" t="n">
        <v>100</v>
      </c>
      <c r="O66" s="75" t="s">
        <v>382</v>
      </c>
      <c r="P66" s="79" t="n">
        <v>100</v>
      </c>
      <c r="Q66" s="75" t="s">
        <v>375</v>
      </c>
      <c r="R66" s="79" t="n">
        <v>50</v>
      </c>
      <c r="S66" s="75" t="s">
        <v>384</v>
      </c>
      <c r="T66" s="79" t="n">
        <v>25</v>
      </c>
      <c r="U66" s="75" t="s">
        <v>373</v>
      </c>
      <c r="V66" s="79" t="n">
        <v>50</v>
      </c>
      <c r="W66" s="75" t="s">
        <v>374</v>
      </c>
      <c r="X66" s="79" t="n">
        <v>100</v>
      </c>
      <c r="Y66" s="75" t="s">
        <v>379</v>
      </c>
      <c r="Z66" s="79" t="n">
        <v>75</v>
      </c>
      <c r="AA66" s="75" t="s">
        <v>374</v>
      </c>
      <c r="AB66" s="79" t="n">
        <v>50</v>
      </c>
    </row>
    <row r="67" customFormat="false" ht="15.75" hidden="false" customHeight="true" outlineLevel="0" collapsed="false">
      <c r="A67" s="77" t="s">
        <v>290</v>
      </c>
      <c r="B67" s="77" t="s">
        <v>291</v>
      </c>
      <c r="C67" s="77" t="s">
        <v>41</v>
      </c>
      <c r="D67" s="77" t="s">
        <v>56</v>
      </c>
      <c r="E67" s="77" t="s">
        <v>378</v>
      </c>
      <c r="F67" s="81" t="n">
        <v>75</v>
      </c>
      <c r="G67" s="77" t="s">
        <v>384</v>
      </c>
      <c r="H67" s="81" t="n">
        <v>75</v>
      </c>
      <c r="I67" s="77" t="s">
        <v>380</v>
      </c>
      <c r="J67" s="81" t="n">
        <v>50</v>
      </c>
      <c r="K67" s="77" t="s">
        <v>382</v>
      </c>
      <c r="L67" s="81" t="n">
        <v>100</v>
      </c>
      <c r="M67" s="77" t="s">
        <v>383</v>
      </c>
      <c r="N67" s="81" t="n">
        <v>75</v>
      </c>
      <c r="O67" s="77" t="s">
        <v>376</v>
      </c>
      <c r="P67" s="81" t="n">
        <v>100</v>
      </c>
      <c r="Q67" s="77" t="s">
        <v>379</v>
      </c>
      <c r="R67" s="81" t="n">
        <v>25</v>
      </c>
      <c r="S67" s="77" t="s">
        <v>382</v>
      </c>
      <c r="T67" s="81" t="n">
        <v>50</v>
      </c>
      <c r="U67" s="77" t="s">
        <v>381</v>
      </c>
      <c r="V67" s="81" t="n">
        <v>75</v>
      </c>
      <c r="W67" s="77" t="s">
        <v>377</v>
      </c>
      <c r="X67" s="81" t="n">
        <v>25</v>
      </c>
      <c r="Y67" s="77" t="s">
        <v>375</v>
      </c>
      <c r="Z67" s="81" t="n">
        <v>100</v>
      </c>
      <c r="AA67" s="77" t="s">
        <v>377</v>
      </c>
      <c r="AB67" s="81" t="n">
        <v>100</v>
      </c>
    </row>
    <row r="68" customFormat="false" ht="15.75" hidden="false" customHeight="true" outlineLevel="0" collapsed="false">
      <c r="A68" s="75" t="s">
        <v>72</v>
      </c>
      <c r="B68" s="75" t="s">
        <v>292</v>
      </c>
      <c r="C68" s="75" t="s">
        <v>46</v>
      </c>
      <c r="D68" s="75" t="s">
        <v>56</v>
      </c>
      <c r="E68" s="75" t="s">
        <v>384</v>
      </c>
      <c r="F68" s="79" t="n">
        <v>75</v>
      </c>
      <c r="G68" s="75" t="s">
        <v>373</v>
      </c>
      <c r="H68" s="79" t="n">
        <v>75</v>
      </c>
      <c r="I68" s="75" t="s">
        <v>380</v>
      </c>
      <c r="J68" s="79" t="n">
        <v>25</v>
      </c>
      <c r="K68" s="75" t="s">
        <v>375</v>
      </c>
      <c r="L68" s="79" t="n">
        <v>75</v>
      </c>
      <c r="M68" s="75" t="s">
        <v>374</v>
      </c>
      <c r="N68" s="79" t="n">
        <v>50</v>
      </c>
      <c r="O68" s="75" t="s">
        <v>378</v>
      </c>
      <c r="P68" s="79" t="n">
        <v>25</v>
      </c>
      <c r="Q68" s="75" t="s">
        <v>381</v>
      </c>
      <c r="R68" s="79" t="n">
        <v>75</v>
      </c>
      <c r="S68" s="75" t="s">
        <v>382</v>
      </c>
      <c r="T68" s="79" t="n">
        <v>100</v>
      </c>
      <c r="U68" s="75" t="s">
        <v>379</v>
      </c>
      <c r="V68" s="79" t="n">
        <v>75</v>
      </c>
      <c r="W68" s="75" t="s">
        <v>374</v>
      </c>
      <c r="X68" s="79" t="n">
        <v>25</v>
      </c>
      <c r="Y68" s="75" t="s">
        <v>379</v>
      </c>
      <c r="Z68" s="79" t="n">
        <v>75</v>
      </c>
      <c r="AA68" s="75" t="s">
        <v>373</v>
      </c>
      <c r="AB68" s="79" t="n">
        <v>50</v>
      </c>
    </row>
    <row r="69" customFormat="false" ht="15.75" hidden="false" customHeight="true" outlineLevel="0" collapsed="false">
      <c r="A69" s="77" t="s">
        <v>293</v>
      </c>
      <c r="B69" s="77" t="s">
        <v>294</v>
      </c>
      <c r="C69" s="77" t="s">
        <v>37</v>
      </c>
      <c r="D69" s="77" t="s">
        <v>56</v>
      </c>
      <c r="E69" s="77" t="s">
        <v>377</v>
      </c>
      <c r="F69" s="81" t="n">
        <v>50</v>
      </c>
      <c r="G69" s="77" t="s">
        <v>381</v>
      </c>
      <c r="H69" s="81" t="n">
        <v>50</v>
      </c>
      <c r="I69" s="77" t="s">
        <v>381</v>
      </c>
      <c r="J69" s="81" t="n">
        <v>75</v>
      </c>
      <c r="K69" s="77" t="s">
        <v>383</v>
      </c>
      <c r="L69" s="81" t="n">
        <v>100</v>
      </c>
      <c r="M69" s="77" t="s">
        <v>384</v>
      </c>
      <c r="N69" s="81" t="n">
        <v>50</v>
      </c>
      <c r="O69" s="77" t="s">
        <v>384</v>
      </c>
      <c r="P69" s="81" t="n">
        <v>50</v>
      </c>
      <c r="Q69" s="77" t="s">
        <v>379</v>
      </c>
      <c r="R69" s="81" t="n">
        <v>25</v>
      </c>
      <c r="S69" s="77" t="s">
        <v>385</v>
      </c>
      <c r="T69" s="81" t="n">
        <v>100</v>
      </c>
      <c r="U69" s="77" t="s">
        <v>385</v>
      </c>
      <c r="V69" s="81" t="n">
        <v>75</v>
      </c>
      <c r="W69" s="77" t="s">
        <v>376</v>
      </c>
      <c r="X69" s="81" t="n">
        <v>25</v>
      </c>
      <c r="Y69" s="77" t="s">
        <v>378</v>
      </c>
      <c r="Z69" s="81" t="n">
        <v>50</v>
      </c>
      <c r="AA69" s="77" t="s">
        <v>380</v>
      </c>
      <c r="AB69" s="81" t="n">
        <v>50</v>
      </c>
    </row>
    <row r="70" customFormat="false" ht="15.75" hidden="false" customHeight="true" outlineLevel="0" collapsed="false">
      <c r="A70" s="75" t="s">
        <v>295</v>
      </c>
      <c r="B70" s="75" t="s">
        <v>296</v>
      </c>
      <c r="C70" s="75" t="s">
        <v>41</v>
      </c>
      <c r="D70" s="75" t="s">
        <v>56</v>
      </c>
      <c r="E70" s="75" t="s">
        <v>382</v>
      </c>
      <c r="F70" s="79" t="n">
        <v>75</v>
      </c>
      <c r="G70" s="75" t="s">
        <v>385</v>
      </c>
      <c r="H70" s="79" t="n">
        <v>100</v>
      </c>
      <c r="I70" s="75" t="s">
        <v>376</v>
      </c>
      <c r="J70" s="79" t="n">
        <v>50</v>
      </c>
      <c r="K70" s="75" t="s">
        <v>374</v>
      </c>
      <c r="L70" s="79" t="n">
        <v>100</v>
      </c>
      <c r="M70" s="75" t="s">
        <v>376</v>
      </c>
      <c r="N70" s="79" t="n">
        <v>100</v>
      </c>
      <c r="O70" s="75" t="s">
        <v>384</v>
      </c>
      <c r="P70" s="79" t="n">
        <v>25</v>
      </c>
      <c r="Q70" s="75" t="s">
        <v>381</v>
      </c>
      <c r="R70" s="79" t="n">
        <v>50</v>
      </c>
      <c r="S70" s="75" t="s">
        <v>385</v>
      </c>
      <c r="T70" s="79" t="n">
        <v>100</v>
      </c>
      <c r="U70" s="75" t="s">
        <v>381</v>
      </c>
      <c r="V70" s="79" t="n">
        <v>25</v>
      </c>
      <c r="W70" s="75" t="s">
        <v>385</v>
      </c>
      <c r="X70" s="79" t="n">
        <v>100</v>
      </c>
      <c r="Y70" s="75" t="s">
        <v>379</v>
      </c>
      <c r="Z70" s="79" t="n">
        <v>75</v>
      </c>
      <c r="AA70" s="75" t="s">
        <v>374</v>
      </c>
      <c r="AB70" s="79" t="n">
        <v>25</v>
      </c>
    </row>
    <row r="71" customFormat="false" ht="15.75" hidden="false" customHeight="true" outlineLevel="0" collapsed="false">
      <c r="A71" s="77" t="s">
        <v>297</v>
      </c>
      <c r="B71" s="77" t="s">
        <v>298</v>
      </c>
      <c r="C71" s="77" t="s">
        <v>45</v>
      </c>
      <c r="D71" s="77" t="s">
        <v>56</v>
      </c>
      <c r="E71" s="77" t="s">
        <v>383</v>
      </c>
      <c r="F71" s="81" t="n">
        <v>75</v>
      </c>
      <c r="G71" s="77" t="s">
        <v>378</v>
      </c>
      <c r="H71" s="81" t="n">
        <v>50</v>
      </c>
      <c r="I71" s="77" t="s">
        <v>380</v>
      </c>
      <c r="J71" s="81" t="n">
        <v>25</v>
      </c>
      <c r="K71" s="77" t="s">
        <v>378</v>
      </c>
      <c r="L71" s="81" t="n">
        <v>100</v>
      </c>
      <c r="M71" s="77" t="s">
        <v>373</v>
      </c>
      <c r="N71" s="81" t="n">
        <v>25</v>
      </c>
      <c r="O71" s="77" t="s">
        <v>385</v>
      </c>
      <c r="P71" s="81" t="n">
        <v>25</v>
      </c>
      <c r="Q71" s="77" t="s">
        <v>376</v>
      </c>
      <c r="R71" s="81" t="n">
        <v>100</v>
      </c>
      <c r="S71" s="77" t="s">
        <v>378</v>
      </c>
      <c r="T71" s="81" t="n">
        <v>75</v>
      </c>
      <c r="U71" s="77" t="s">
        <v>383</v>
      </c>
      <c r="V71" s="81" t="n">
        <v>50</v>
      </c>
      <c r="W71" s="77" t="s">
        <v>384</v>
      </c>
      <c r="X71" s="81" t="n">
        <v>50</v>
      </c>
      <c r="Y71" s="77" t="s">
        <v>384</v>
      </c>
      <c r="Z71" s="81" t="n">
        <v>100</v>
      </c>
      <c r="AA71" s="77" t="s">
        <v>373</v>
      </c>
      <c r="AB71" s="81" t="n">
        <v>100</v>
      </c>
    </row>
    <row r="72" customFormat="false" ht="15.75" hidden="false" customHeight="true" outlineLevel="0" collapsed="false">
      <c r="A72" s="75" t="s">
        <v>299</v>
      </c>
      <c r="B72" s="75" t="s">
        <v>300</v>
      </c>
      <c r="C72" s="75" t="s">
        <v>41</v>
      </c>
      <c r="D72" s="75" t="s">
        <v>56</v>
      </c>
      <c r="E72" s="75" t="s">
        <v>381</v>
      </c>
      <c r="F72" s="79" t="n">
        <v>100</v>
      </c>
      <c r="G72" s="75" t="s">
        <v>383</v>
      </c>
      <c r="H72" s="79" t="n">
        <v>25</v>
      </c>
      <c r="I72" s="75" t="s">
        <v>379</v>
      </c>
      <c r="J72" s="79" t="n">
        <v>50</v>
      </c>
      <c r="K72" s="75" t="s">
        <v>379</v>
      </c>
      <c r="L72" s="79" t="n">
        <v>75</v>
      </c>
      <c r="M72" s="75" t="s">
        <v>376</v>
      </c>
      <c r="N72" s="79" t="n">
        <v>50</v>
      </c>
      <c r="O72" s="75" t="s">
        <v>385</v>
      </c>
      <c r="P72" s="79" t="n">
        <v>100</v>
      </c>
      <c r="Q72" s="75" t="s">
        <v>385</v>
      </c>
      <c r="R72" s="79" t="n">
        <v>50</v>
      </c>
      <c r="S72" s="75" t="s">
        <v>374</v>
      </c>
      <c r="T72" s="79" t="n">
        <v>50</v>
      </c>
      <c r="U72" s="75" t="s">
        <v>378</v>
      </c>
      <c r="V72" s="79" t="n">
        <v>25</v>
      </c>
      <c r="W72" s="75" t="s">
        <v>375</v>
      </c>
      <c r="X72" s="79" t="n">
        <v>100</v>
      </c>
      <c r="Y72" s="75" t="s">
        <v>379</v>
      </c>
      <c r="Z72" s="79" t="n">
        <v>100</v>
      </c>
      <c r="AA72" s="75" t="s">
        <v>385</v>
      </c>
      <c r="AB72" s="79" t="n">
        <v>100</v>
      </c>
    </row>
    <row r="73" customFormat="false" ht="15.75" hidden="false" customHeight="true" outlineLevel="0" collapsed="false">
      <c r="A73" s="77" t="s">
        <v>303</v>
      </c>
      <c r="B73" s="77" t="s">
        <v>304</v>
      </c>
      <c r="C73" s="77" t="s">
        <v>42</v>
      </c>
      <c r="D73" s="77" t="s">
        <v>62</v>
      </c>
      <c r="E73" s="77" t="s">
        <v>377</v>
      </c>
      <c r="F73" s="81" t="n">
        <v>50</v>
      </c>
      <c r="G73" s="77" t="s">
        <v>381</v>
      </c>
      <c r="H73" s="81" t="n">
        <v>75</v>
      </c>
      <c r="I73" s="77" t="s">
        <v>382</v>
      </c>
      <c r="J73" s="81" t="n">
        <v>75</v>
      </c>
      <c r="K73" s="77" t="s">
        <v>377</v>
      </c>
      <c r="L73" s="81" t="n">
        <v>25</v>
      </c>
      <c r="M73" s="77" t="s">
        <v>378</v>
      </c>
      <c r="N73" s="81" t="n">
        <v>100</v>
      </c>
      <c r="O73" s="77" t="s">
        <v>380</v>
      </c>
      <c r="P73" s="81" t="n">
        <v>25</v>
      </c>
      <c r="Q73" s="77" t="s">
        <v>377</v>
      </c>
      <c r="R73" s="81" t="n">
        <v>50</v>
      </c>
      <c r="S73" s="77" t="s">
        <v>376</v>
      </c>
      <c r="T73" s="81" t="n">
        <v>25</v>
      </c>
      <c r="U73" s="77" t="s">
        <v>380</v>
      </c>
      <c r="V73" s="81" t="n">
        <v>25</v>
      </c>
      <c r="W73" s="77" t="s">
        <v>381</v>
      </c>
      <c r="X73" s="81" t="n">
        <v>25</v>
      </c>
      <c r="Y73" s="77" t="s">
        <v>377</v>
      </c>
      <c r="Z73" s="81" t="n">
        <v>25</v>
      </c>
      <c r="AA73" s="77" t="s">
        <v>383</v>
      </c>
      <c r="AB73" s="81" t="n">
        <v>100</v>
      </c>
    </row>
    <row r="74" customFormat="false" ht="15.75" hidden="false" customHeight="true" outlineLevel="0" collapsed="false">
      <c r="A74" s="75" t="s">
        <v>305</v>
      </c>
      <c r="B74" s="75" t="s">
        <v>306</v>
      </c>
      <c r="C74" s="75" t="s">
        <v>44</v>
      </c>
      <c r="D74" s="75" t="s">
        <v>62</v>
      </c>
      <c r="E74" s="75" t="s">
        <v>377</v>
      </c>
      <c r="F74" s="79" t="n">
        <v>50</v>
      </c>
      <c r="G74" s="75" t="s">
        <v>384</v>
      </c>
      <c r="H74" s="79" t="n">
        <v>25</v>
      </c>
      <c r="I74" s="75" t="s">
        <v>382</v>
      </c>
      <c r="J74" s="79" t="n">
        <v>75</v>
      </c>
      <c r="K74" s="75" t="s">
        <v>377</v>
      </c>
      <c r="L74" s="79" t="n">
        <v>75</v>
      </c>
      <c r="M74" s="75" t="s">
        <v>380</v>
      </c>
      <c r="N74" s="79" t="n">
        <v>75</v>
      </c>
      <c r="O74" s="75" t="s">
        <v>377</v>
      </c>
      <c r="P74" s="79" t="n">
        <v>75</v>
      </c>
      <c r="Q74" s="75" t="s">
        <v>382</v>
      </c>
      <c r="R74" s="79" t="n">
        <v>50</v>
      </c>
      <c r="S74" s="75" t="s">
        <v>383</v>
      </c>
      <c r="T74" s="79" t="n">
        <v>75</v>
      </c>
      <c r="U74" s="75" t="s">
        <v>375</v>
      </c>
      <c r="V74" s="79" t="n">
        <v>25</v>
      </c>
      <c r="W74" s="75" t="s">
        <v>385</v>
      </c>
      <c r="X74" s="79" t="n">
        <v>50</v>
      </c>
      <c r="Y74" s="75" t="s">
        <v>379</v>
      </c>
      <c r="Z74" s="79" t="n">
        <v>100</v>
      </c>
      <c r="AA74" s="75" t="s">
        <v>385</v>
      </c>
      <c r="AB74" s="79" t="n">
        <v>100</v>
      </c>
    </row>
    <row r="75" customFormat="false" ht="15.75" hidden="false" customHeight="true" outlineLevel="0" collapsed="false">
      <c r="A75" s="77" t="s">
        <v>88</v>
      </c>
      <c r="B75" s="77" t="s">
        <v>308</v>
      </c>
      <c r="C75" s="77" t="s">
        <v>39</v>
      </c>
      <c r="D75" s="77" t="s">
        <v>62</v>
      </c>
      <c r="E75" s="77" t="s">
        <v>378</v>
      </c>
      <c r="F75" s="81" t="n">
        <v>75</v>
      </c>
      <c r="G75" s="77" t="s">
        <v>379</v>
      </c>
      <c r="H75" s="81" t="n">
        <v>100</v>
      </c>
      <c r="I75" s="77" t="s">
        <v>384</v>
      </c>
      <c r="J75" s="81" t="n">
        <v>75</v>
      </c>
      <c r="K75" s="77" t="s">
        <v>374</v>
      </c>
      <c r="L75" s="81" t="n">
        <v>100</v>
      </c>
      <c r="M75" s="77" t="s">
        <v>383</v>
      </c>
      <c r="N75" s="81" t="n">
        <v>50</v>
      </c>
      <c r="O75" s="77" t="s">
        <v>375</v>
      </c>
      <c r="P75" s="81" t="n">
        <v>100</v>
      </c>
      <c r="Q75" s="77" t="s">
        <v>382</v>
      </c>
      <c r="R75" s="81" t="n">
        <v>100</v>
      </c>
      <c r="S75" s="77" t="s">
        <v>377</v>
      </c>
      <c r="T75" s="81" t="n">
        <v>50</v>
      </c>
      <c r="U75" s="77" t="s">
        <v>375</v>
      </c>
      <c r="V75" s="81" t="n">
        <v>50</v>
      </c>
      <c r="W75" s="77" t="s">
        <v>384</v>
      </c>
      <c r="X75" s="81" t="n">
        <v>100</v>
      </c>
      <c r="Y75" s="77" t="s">
        <v>378</v>
      </c>
      <c r="Z75" s="81" t="n">
        <v>100</v>
      </c>
      <c r="AA75" s="77" t="s">
        <v>383</v>
      </c>
      <c r="AB75" s="81" t="n">
        <v>50</v>
      </c>
    </row>
    <row r="76" customFormat="false" ht="15.75" hidden="false" customHeight="true" outlineLevel="0" collapsed="false">
      <c r="A76" s="75" t="s">
        <v>309</v>
      </c>
      <c r="B76" s="75" t="s">
        <v>310</v>
      </c>
      <c r="C76" s="75" t="s">
        <v>39</v>
      </c>
      <c r="D76" s="75" t="s">
        <v>62</v>
      </c>
      <c r="E76" s="75" t="s">
        <v>383</v>
      </c>
      <c r="F76" s="79" t="n">
        <v>50</v>
      </c>
      <c r="G76" s="75" t="s">
        <v>375</v>
      </c>
      <c r="H76" s="79" t="n">
        <v>50</v>
      </c>
      <c r="I76" s="75" t="s">
        <v>373</v>
      </c>
      <c r="J76" s="79" t="n">
        <v>25</v>
      </c>
      <c r="K76" s="75" t="s">
        <v>381</v>
      </c>
      <c r="L76" s="79" t="n">
        <v>75</v>
      </c>
      <c r="M76" s="75" t="s">
        <v>376</v>
      </c>
      <c r="N76" s="79" t="n">
        <v>50</v>
      </c>
      <c r="O76" s="75" t="s">
        <v>378</v>
      </c>
      <c r="P76" s="79" t="n">
        <v>75</v>
      </c>
      <c r="Q76" s="75" t="s">
        <v>383</v>
      </c>
      <c r="R76" s="79" t="n">
        <v>25</v>
      </c>
      <c r="S76" s="75" t="s">
        <v>376</v>
      </c>
      <c r="T76" s="79" t="n">
        <v>50</v>
      </c>
      <c r="U76" s="75" t="s">
        <v>384</v>
      </c>
      <c r="V76" s="79" t="n">
        <v>50</v>
      </c>
      <c r="W76" s="75" t="s">
        <v>381</v>
      </c>
      <c r="X76" s="79" t="n">
        <v>50</v>
      </c>
      <c r="Y76" s="75" t="s">
        <v>373</v>
      </c>
      <c r="Z76" s="79" t="n">
        <v>75</v>
      </c>
      <c r="AA76" s="75" t="s">
        <v>378</v>
      </c>
      <c r="AB76" s="79" t="n">
        <v>50</v>
      </c>
    </row>
    <row r="77" customFormat="false" ht="15.75" hidden="false" customHeight="true" outlineLevel="0" collapsed="false">
      <c r="A77" s="77" t="s">
        <v>86</v>
      </c>
      <c r="B77" s="77" t="s">
        <v>311</v>
      </c>
      <c r="C77" s="77" t="s">
        <v>41</v>
      </c>
      <c r="D77" s="77" t="s">
        <v>62</v>
      </c>
      <c r="E77" s="77" t="s">
        <v>377</v>
      </c>
      <c r="F77" s="81" t="n">
        <v>25</v>
      </c>
      <c r="G77" s="77" t="s">
        <v>374</v>
      </c>
      <c r="H77" s="81" t="n">
        <v>100</v>
      </c>
      <c r="I77" s="77" t="s">
        <v>377</v>
      </c>
      <c r="J77" s="81" t="n">
        <v>50</v>
      </c>
      <c r="K77" s="77" t="s">
        <v>383</v>
      </c>
      <c r="L77" s="81" t="n">
        <v>50</v>
      </c>
      <c r="M77" s="77" t="s">
        <v>385</v>
      </c>
      <c r="N77" s="81" t="n">
        <v>75</v>
      </c>
      <c r="O77" s="77" t="s">
        <v>384</v>
      </c>
      <c r="P77" s="81" t="n">
        <v>75</v>
      </c>
      <c r="Q77" s="77" t="s">
        <v>383</v>
      </c>
      <c r="R77" s="81" t="n">
        <v>100</v>
      </c>
      <c r="S77" s="77" t="s">
        <v>385</v>
      </c>
      <c r="T77" s="81" t="n">
        <v>75</v>
      </c>
      <c r="U77" s="77" t="s">
        <v>375</v>
      </c>
      <c r="V77" s="81" t="n">
        <v>75</v>
      </c>
      <c r="W77" s="77" t="s">
        <v>373</v>
      </c>
      <c r="X77" s="81" t="n">
        <v>100</v>
      </c>
      <c r="Y77" s="77" t="s">
        <v>381</v>
      </c>
      <c r="Z77" s="81" t="n">
        <v>25</v>
      </c>
      <c r="AA77" s="77" t="s">
        <v>384</v>
      </c>
      <c r="AB77" s="81" t="n">
        <v>100</v>
      </c>
    </row>
    <row r="78" customFormat="false" ht="15.75" hidden="false" customHeight="true" outlineLevel="0" collapsed="false">
      <c r="A78" s="75" t="s">
        <v>312</v>
      </c>
      <c r="B78" s="75" t="s">
        <v>313</v>
      </c>
      <c r="C78" s="75" t="s">
        <v>42</v>
      </c>
      <c r="D78" s="75" t="s">
        <v>62</v>
      </c>
      <c r="E78" s="75" t="s">
        <v>384</v>
      </c>
      <c r="F78" s="79" t="n">
        <v>75</v>
      </c>
      <c r="G78" s="75" t="s">
        <v>377</v>
      </c>
      <c r="H78" s="79" t="n">
        <v>75</v>
      </c>
      <c r="I78" s="75" t="s">
        <v>373</v>
      </c>
      <c r="J78" s="79" t="n">
        <v>100</v>
      </c>
      <c r="K78" s="75" t="s">
        <v>378</v>
      </c>
      <c r="L78" s="79" t="n">
        <v>50</v>
      </c>
      <c r="M78" s="75" t="s">
        <v>374</v>
      </c>
      <c r="N78" s="79" t="n">
        <v>50</v>
      </c>
      <c r="O78" s="75" t="s">
        <v>378</v>
      </c>
      <c r="P78" s="79" t="n">
        <v>75</v>
      </c>
      <c r="Q78" s="75" t="s">
        <v>385</v>
      </c>
      <c r="R78" s="79" t="n">
        <v>100</v>
      </c>
      <c r="S78" s="75" t="s">
        <v>375</v>
      </c>
      <c r="T78" s="79" t="n">
        <v>50</v>
      </c>
      <c r="U78" s="75" t="s">
        <v>377</v>
      </c>
      <c r="V78" s="79" t="n">
        <v>75</v>
      </c>
      <c r="W78" s="75" t="s">
        <v>377</v>
      </c>
      <c r="X78" s="79" t="n">
        <v>100</v>
      </c>
      <c r="Y78" s="75" t="s">
        <v>380</v>
      </c>
      <c r="Z78" s="79" t="n">
        <v>50</v>
      </c>
      <c r="AA78" s="75" t="s">
        <v>381</v>
      </c>
      <c r="AB78" s="79" t="n">
        <v>75</v>
      </c>
    </row>
    <row r="79" customFormat="false" ht="15.75" hidden="false" customHeight="true" outlineLevel="0" collapsed="false">
      <c r="A79" s="77" t="s">
        <v>315</v>
      </c>
      <c r="B79" s="77" t="s">
        <v>316</v>
      </c>
      <c r="C79" s="77" t="s">
        <v>37</v>
      </c>
      <c r="D79" s="77" t="s">
        <v>62</v>
      </c>
      <c r="E79" s="77" t="s">
        <v>375</v>
      </c>
      <c r="F79" s="81" t="n">
        <v>100</v>
      </c>
      <c r="G79" s="77" t="s">
        <v>374</v>
      </c>
      <c r="H79" s="81" t="n">
        <v>100</v>
      </c>
      <c r="I79" s="77" t="s">
        <v>381</v>
      </c>
      <c r="J79" s="81" t="n">
        <v>50</v>
      </c>
      <c r="K79" s="77" t="s">
        <v>374</v>
      </c>
      <c r="L79" s="81" t="n">
        <v>75</v>
      </c>
      <c r="M79" s="77" t="s">
        <v>382</v>
      </c>
      <c r="N79" s="81" t="n">
        <v>50</v>
      </c>
      <c r="O79" s="77" t="s">
        <v>374</v>
      </c>
      <c r="P79" s="81" t="n">
        <v>100</v>
      </c>
      <c r="Q79" s="77" t="s">
        <v>382</v>
      </c>
      <c r="R79" s="81" t="n">
        <v>25</v>
      </c>
      <c r="S79" s="77" t="s">
        <v>385</v>
      </c>
      <c r="T79" s="81" t="n">
        <v>25</v>
      </c>
      <c r="U79" s="77" t="s">
        <v>376</v>
      </c>
      <c r="V79" s="81" t="n">
        <v>25</v>
      </c>
      <c r="W79" s="77" t="s">
        <v>384</v>
      </c>
      <c r="X79" s="81" t="n">
        <v>25</v>
      </c>
      <c r="Y79" s="77" t="s">
        <v>383</v>
      </c>
      <c r="Z79" s="81" t="n">
        <v>50</v>
      </c>
      <c r="AA79" s="77" t="s">
        <v>379</v>
      </c>
      <c r="AB79" s="81" t="n">
        <v>50</v>
      </c>
    </row>
    <row r="80" customFormat="false" ht="15.75" hidden="false" customHeight="true" outlineLevel="0" collapsed="false">
      <c r="A80" s="75" t="s">
        <v>317</v>
      </c>
      <c r="B80" s="75" t="s">
        <v>318</v>
      </c>
      <c r="C80" s="75" t="s">
        <v>43</v>
      </c>
      <c r="D80" s="75" t="s">
        <v>62</v>
      </c>
      <c r="E80" s="75" t="s">
        <v>376</v>
      </c>
      <c r="F80" s="79" t="n">
        <v>50</v>
      </c>
      <c r="G80" s="75" t="s">
        <v>378</v>
      </c>
      <c r="H80" s="79" t="n">
        <v>50</v>
      </c>
      <c r="I80" s="75" t="s">
        <v>385</v>
      </c>
      <c r="J80" s="79" t="n">
        <v>100</v>
      </c>
      <c r="K80" s="75" t="s">
        <v>373</v>
      </c>
      <c r="L80" s="79" t="n">
        <v>25</v>
      </c>
      <c r="M80" s="75" t="s">
        <v>380</v>
      </c>
      <c r="N80" s="79" t="n">
        <v>100</v>
      </c>
      <c r="O80" s="75" t="s">
        <v>379</v>
      </c>
      <c r="P80" s="79" t="n">
        <v>100</v>
      </c>
      <c r="Q80" s="75" t="s">
        <v>378</v>
      </c>
      <c r="R80" s="79" t="n">
        <v>25</v>
      </c>
      <c r="S80" s="75" t="s">
        <v>385</v>
      </c>
      <c r="T80" s="79" t="n">
        <v>100</v>
      </c>
      <c r="U80" s="75" t="s">
        <v>378</v>
      </c>
      <c r="V80" s="79" t="n">
        <v>25</v>
      </c>
      <c r="W80" s="75" t="s">
        <v>385</v>
      </c>
      <c r="X80" s="79" t="n">
        <v>75</v>
      </c>
      <c r="Y80" s="75" t="s">
        <v>385</v>
      </c>
      <c r="Z80" s="79" t="n">
        <v>75</v>
      </c>
      <c r="AA80" s="75" t="s">
        <v>378</v>
      </c>
      <c r="AB80" s="79" t="n">
        <v>100</v>
      </c>
    </row>
    <row r="81" customFormat="false" ht="15.75" hidden="false" customHeight="true" outlineLevel="0" collapsed="false">
      <c r="A81" s="77" t="s">
        <v>82</v>
      </c>
      <c r="B81" s="77" t="s">
        <v>319</v>
      </c>
      <c r="C81" s="77" t="s">
        <v>44</v>
      </c>
      <c r="D81" s="77" t="s">
        <v>62</v>
      </c>
      <c r="E81" s="77" t="s">
        <v>384</v>
      </c>
      <c r="F81" s="81" t="n">
        <v>50</v>
      </c>
      <c r="G81" s="77" t="s">
        <v>376</v>
      </c>
      <c r="H81" s="81" t="n">
        <v>25</v>
      </c>
      <c r="I81" s="77" t="s">
        <v>385</v>
      </c>
      <c r="J81" s="81" t="n">
        <v>50</v>
      </c>
      <c r="K81" s="77" t="s">
        <v>377</v>
      </c>
      <c r="L81" s="81" t="n">
        <v>50</v>
      </c>
      <c r="M81" s="77" t="s">
        <v>380</v>
      </c>
      <c r="N81" s="81" t="n">
        <v>75</v>
      </c>
      <c r="O81" s="77" t="s">
        <v>373</v>
      </c>
      <c r="P81" s="81" t="n">
        <v>75</v>
      </c>
      <c r="Q81" s="77" t="s">
        <v>384</v>
      </c>
      <c r="R81" s="81" t="n">
        <v>100</v>
      </c>
      <c r="S81" s="77" t="s">
        <v>376</v>
      </c>
      <c r="T81" s="81" t="n">
        <v>75</v>
      </c>
      <c r="U81" s="77" t="s">
        <v>383</v>
      </c>
      <c r="V81" s="81" t="n">
        <v>100</v>
      </c>
      <c r="W81" s="77" t="s">
        <v>380</v>
      </c>
      <c r="X81" s="81" t="n">
        <v>50</v>
      </c>
      <c r="Y81" s="77" t="s">
        <v>374</v>
      </c>
      <c r="Z81" s="81" t="n">
        <v>50</v>
      </c>
      <c r="AA81" s="77" t="s">
        <v>375</v>
      </c>
      <c r="AB81" s="81" t="n">
        <v>25</v>
      </c>
    </row>
    <row r="82" customFormat="false" ht="15.75" hidden="false" customHeight="true" outlineLevel="0" collapsed="false">
      <c r="A82" s="75" t="s">
        <v>320</v>
      </c>
      <c r="B82" s="75" t="s">
        <v>321</v>
      </c>
      <c r="C82" s="75" t="s">
        <v>35</v>
      </c>
      <c r="D82" s="75" t="s">
        <v>62</v>
      </c>
      <c r="E82" s="75" t="s">
        <v>379</v>
      </c>
      <c r="F82" s="79" t="n">
        <v>25</v>
      </c>
      <c r="G82" s="75" t="s">
        <v>376</v>
      </c>
      <c r="H82" s="79" t="n">
        <v>100</v>
      </c>
      <c r="I82" s="75" t="s">
        <v>383</v>
      </c>
      <c r="J82" s="79" t="n">
        <v>100</v>
      </c>
      <c r="K82" s="75" t="s">
        <v>385</v>
      </c>
      <c r="L82" s="79" t="n">
        <v>100</v>
      </c>
      <c r="M82" s="75" t="s">
        <v>378</v>
      </c>
      <c r="N82" s="79" t="n">
        <v>25</v>
      </c>
      <c r="O82" s="75" t="s">
        <v>374</v>
      </c>
      <c r="P82" s="79" t="n">
        <v>50</v>
      </c>
      <c r="Q82" s="75" t="s">
        <v>376</v>
      </c>
      <c r="R82" s="79" t="n">
        <v>100</v>
      </c>
      <c r="S82" s="75" t="s">
        <v>383</v>
      </c>
      <c r="T82" s="79" t="n">
        <v>75</v>
      </c>
      <c r="U82" s="75" t="s">
        <v>380</v>
      </c>
      <c r="V82" s="79" t="n">
        <v>25</v>
      </c>
      <c r="W82" s="75" t="s">
        <v>385</v>
      </c>
      <c r="X82" s="79" t="n">
        <v>25</v>
      </c>
      <c r="Y82" s="75" t="s">
        <v>377</v>
      </c>
      <c r="Z82" s="79" t="n">
        <v>50</v>
      </c>
      <c r="AA82" s="75" t="s">
        <v>374</v>
      </c>
      <c r="AB82" s="79" t="n">
        <v>100</v>
      </c>
    </row>
    <row r="83" customFormat="false" ht="15.75" hidden="false" customHeight="true" outlineLevel="0" collapsed="false">
      <c r="A83" s="77" t="s">
        <v>322</v>
      </c>
      <c r="B83" s="77" t="s">
        <v>323</v>
      </c>
      <c r="C83" s="77" t="s">
        <v>33</v>
      </c>
      <c r="D83" s="77" t="s">
        <v>62</v>
      </c>
      <c r="E83" s="77" t="s">
        <v>375</v>
      </c>
      <c r="F83" s="81" t="n">
        <v>25</v>
      </c>
      <c r="G83" s="77" t="s">
        <v>376</v>
      </c>
      <c r="H83" s="81" t="n">
        <v>75</v>
      </c>
      <c r="I83" s="77" t="s">
        <v>385</v>
      </c>
      <c r="J83" s="81" t="n">
        <v>25</v>
      </c>
      <c r="K83" s="77" t="s">
        <v>382</v>
      </c>
      <c r="L83" s="81" t="n">
        <v>75</v>
      </c>
      <c r="M83" s="77" t="s">
        <v>378</v>
      </c>
      <c r="N83" s="81" t="n">
        <v>50</v>
      </c>
      <c r="O83" s="77" t="s">
        <v>380</v>
      </c>
      <c r="P83" s="81" t="n">
        <v>50</v>
      </c>
      <c r="Q83" s="77" t="s">
        <v>384</v>
      </c>
      <c r="R83" s="81" t="n">
        <v>100</v>
      </c>
      <c r="S83" s="77" t="s">
        <v>376</v>
      </c>
      <c r="T83" s="81" t="n">
        <v>75</v>
      </c>
      <c r="U83" s="77" t="s">
        <v>382</v>
      </c>
      <c r="V83" s="81" t="n">
        <v>50</v>
      </c>
      <c r="W83" s="77" t="s">
        <v>380</v>
      </c>
      <c r="X83" s="81" t="n">
        <v>100</v>
      </c>
      <c r="Y83" s="77" t="s">
        <v>379</v>
      </c>
      <c r="Z83" s="81" t="n">
        <v>75</v>
      </c>
      <c r="AA83" s="77" t="s">
        <v>383</v>
      </c>
      <c r="AB83" s="81" t="n">
        <v>50</v>
      </c>
    </row>
    <row r="84" customFormat="false" ht="15.75" hidden="false" customHeight="true" outlineLevel="0" collapsed="false">
      <c r="A84" s="75" t="s">
        <v>75</v>
      </c>
      <c r="B84" s="75" t="s">
        <v>324</v>
      </c>
      <c r="C84" s="75" t="s">
        <v>35</v>
      </c>
      <c r="D84" s="75" t="s">
        <v>62</v>
      </c>
      <c r="E84" s="75" t="s">
        <v>384</v>
      </c>
      <c r="F84" s="79" t="n">
        <v>25</v>
      </c>
      <c r="G84" s="75" t="s">
        <v>385</v>
      </c>
      <c r="H84" s="79" t="n">
        <v>75</v>
      </c>
      <c r="I84" s="75" t="s">
        <v>378</v>
      </c>
      <c r="J84" s="79" t="n">
        <v>25</v>
      </c>
      <c r="K84" s="75" t="s">
        <v>383</v>
      </c>
      <c r="L84" s="79" t="n">
        <v>50</v>
      </c>
      <c r="M84" s="75" t="s">
        <v>376</v>
      </c>
      <c r="N84" s="79" t="n">
        <v>75</v>
      </c>
      <c r="O84" s="75" t="s">
        <v>380</v>
      </c>
      <c r="P84" s="79" t="n">
        <v>100</v>
      </c>
      <c r="Q84" s="75" t="s">
        <v>384</v>
      </c>
      <c r="R84" s="79" t="n">
        <v>75</v>
      </c>
      <c r="S84" s="75" t="s">
        <v>378</v>
      </c>
      <c r="T84" s="79" t="n">
        <v>75</v>
      </c>
      <c r="U84" s="75" t="s">
        <v>384</v>
      </c>
      <c r="V84" s="79" t="n">
        <v>100</v>
      </c>
      <c r="W84" s="75" t="s">
        <v>381</v>
      </c>
      <c r="X84" s="79" t="n">
        <v>50</v>
      </c>
      <c r="Y84" s="75" t="s">
        <v>373</v>
      </c>
      <c r="Z84" s="79" t="n">
        <v>100</v>
      </c>
      <c r="AA84" s="75" t="s">
        <v>383</v>
      </c>
      <c r="AB84" s="79" t="n">
        <v>50</v>
      </c>
    </row>
    <row r="85" customFormat="false" ht="15.75" hidden="false" customHeight="true" outlineLevel="0" collapsed="false">
      <c r="A85" s="77" t="s">
        <v>325</v>
      </c>
      <c r="B85" s="77" t="s">
        <v>326</v>
      </c>
      <c r="C85" s="77" t="s">
        <v>43</v>
      </c>
      <c r="D85" s="77" t="s">
        <v>62</v>
      </c>
      <c r="E85" s="77" t="s">
        <v>379</v>
      </c>
      <c r="F85" s="81" t="n">
        <v>100</v>
      </c>
      <c r="G85" s="77" t="s">
        <v>376</v>
      </c>
      <c r="H85" s="81" t="n">
        <v>75</v>
      </c>
      <c r="I85" s="77" t="s">
        <v>384</v>
      </c>
      <c r="J85" s="81" t="n">
        <v>50</v>
      </c>
      <c r="K85" s="77" t="s">
        <v>374</v>
      </c>
      <c r="L85" s="81" t="n">
        <v>25</v>
      </c>
      <c r="M85" s="77" t="s">
        <v>376</v>
      </c>
      <c r="N85" s="81" t="n">
        <v>75</v>
      </c>
      <c r="O85" s="77" t="s">
        <v>382</v>
      </c>
      <c r="P85" s="81" t="n">
        <v>100</v>
      </c>
      <c r="Q85" s="77" t="s">
        <v>374</v>
      </c>
      <c r="R85" s="81" t="n">
        <v>50</v>
      </c>
      <c r="S85" s="77" t="s">
        <v>374</v>
      </c>
      <c r="T85" s="81" t="n">
        <v>100</v>
      </c>
      <c r="U85" s="77" t="s">
        <v>373</v>
      </c>
      <c r="V85" s="81" t="n">
        <v>75</v>
      </c>
      <c r="W85" s="77" t="s">
        <v>376</v>
      </c>
      <c r="X85" s="81" t="n">
        <v>25</v>
      </c>
      <c r="Y85" s="77" t="s">
        <v>378</v>
      </c>
      <c r="Z85" s="81" t="n">
        <v>75</v>
      </c>
      <c r="AA85" s="77" t="s">
        <v>381</v>
      </c>
      <c r="AB85" s="81" t="n">
        <v>75</v>
      </c>
    </row>
    <row r="86" customFormat="false" ht="15.75" hidden="false" customHeight="true" outlineLevel="0" collapsed="false">
      <c r="A86" s="75" t="s">
        <v>327</v>
      </c>
      <c r="B86" s="75" t="s">
        <v>328</v>
      </c>
      <c r="C86" s="75" t="s">
        <v>37</v>
      </c>
      <c r="D86" s="75" t="s">
        <v>62</v>
      </c>
      <c r="E86" s="75" t="s">
        <v>384</v>
      </c>
      <c r="F86" s="79" t="n">
        <v>75</v>
      </c>
      <c r="G86" s="75" t="s">
        <v>376</v>
      </c>
      <c r="H86" s="79" t="n">
        <v>50</v>
      </c>
      <c r="I86" s="75" t="s">
        <v>376</v>
      </c>
      <c r="J86" s="79" t="n">
        <v>50</v>
      </c>
      <c r="K86" s="75" t="s">
        <v>383</v>
      </c>
      <c r="L86" s="79" t="n">
        <v>100</v>
      </c>
      <c r="M86" s="75" t="s">
        <v>385</v>
      </c>
      <c r="N86" s="79" t="n">
        <v>100</v>
      </c>
      <c r="O86" s="75" t="s">
        <v>376</v>
      </c>
      <c r="P86" s="79" t="n">
        <v>25</v>
      </c>
      <c r="Q86" s="75" t="s">
        <v>376</v>
      </c>
      <c r="R86" s="79" t="n">
        <v>75</v>
      </c>
      <c r="S86" s="75" t="s">
        <v>385</v>
      </c>
      <c r="T86" s="79" t="n">
        <v>25</v>
      </c>
      <c r="U86" s="75" t="s">
        <v>380</v>
      </c>
      <c r="V86" s="79" t="n">
        <v>75</v>
      </c>
      <c r="W86" s="75" t="s">
        <v>383</v>
      </c>
      <c r="X86" s="79" t="n">
        <v>25</v>
      </c>
      <c r="Y86" s="75" t="s">
        <v>375</v>
      </c>
      <c r="Z86" s="79" t="n">
        <v>100</v>
      </c>
      <c r="AA86" s="75" t="s">
        <v>383</v>
      </c>
      <c r="AB86" s="79" t="n">
        <v>25</v>
      </c>
    </row>
    <row r="87" customFormat="false" ht="15.75" hidden="false" customHeight="true" outlineLevel="0" collapsed="false">
      <c r="A87" s="77" t="s">
        <v>83</v>
      </c>
      <c r="B87" s="77" t="s">
        <v>329</v>
      </c>
      <c r="C87" s="77" t="s">
        <v>41</v>
      </c>
      <c r="D87" s="77" t="s">
        <v>62</v>
      </c>
      <c r="E87" s="77" t="s">
        <v>374</v>
      </c>
      <c r="F87" s="81" t="n">
        <v>50</v>
      </c>
      <c r="G87" s="77" t="s">
        <v>380</v>
      </c>
      <c r="H87" s="81" t="n">
        <v>50</v>
      </c>
      <c r="I87" s="77" t="s">
        <v>379</v>
      </c>
      <c r="J87" s="81" t="n">
        <v>100</v>
      </c>
      <c r="K87" s="77" t="s">
        <v>382</v>
      </c>
      <c r="L87" s="81" t="n">
        <v>50</v>
      </c>
      <c r="M87" s="77" t="s">
        <v>375</v>
      </c>
      <c r="N87" s="81" t="n">
        <v>75</v>
      </c>
      <c r="O87" s="77" t="s">
        <v>375</v>
      </c>
      <c r="P87" s="81" t="n">
        <v>100</v>
      </c>
      <c r="Q87" s="77" t="s">
        <v>382</v>
      </c>
      <c r="R87" s="81" t="n">
        <v>25</v>
      </c>
      <c r="S87" s="77" t="s">
        <v>382</v>
      </c>
      <c r="T87" s="81" t="n">
        <v>100</v>
      </c>
      <c r="U87" s="77" t="s">
        <v>375</v>
      </c>
      <c r="V87" s="81" t="n">
        <v>100</v>
      </c>
      <c r="W87" s="77" t="s">
        <v>375</v>
      </c>
      <c r="X87" s="81" t="n">
        <v>100</v>
      </c>
      <c r="Y87" s="77" t="s">
        <v>384</v>
      </c>
      <c r="Z87" s="81" t="n">
        <v>25</v>
      </c>
      <c r="AA87" s="77" t="s">
        <v>373</v>
      </c>
      <c r="AB87" s="81" t="n">
        <v>75</v>
      </c>
    </row>
    <row r="88" customFormat="false" ht="15.75" hidden="false" customHeight="true" outlineLevel="0" collapsed="false">
      <c r="A88" s="75" t="s">
        <v>330</v>
      </c>
      <c r="B88" s="75" t="s">
        <v>331</v>
      </c>
      <c r="C88" s="75" t="s">
        <v>45</v>
      </c>
      <c r="D88" s="75" t="s">
        <v>62</v>
      </c>
      <c r="E88" s="75" t="s">
        <v>377</v>
      </c>
      <c r="F88" s="79" t="n">
        <v>100</v>
      </c>
      <c r="G88" s="75" t="s">
        <v>380</v>
      </c>
      <c r="H88" s="79" t="n">
        <v>50</v>
      </c>
      <c r="I88" s="75" t="s">
        <v>381</v>
      </c>
      <c r="J88" s="79" t="n">
        <v>25</v>
      </c>
      <c r="K88" s="75" t="s">
        <v>382</v>
      </c>
      <c r="L88" s="79" t="n">
        <v>75</v>
      </c>
      <c r="M88" s="75" t="s">
        <v>378</v>
      </c>
      <c r="N88" s="79" t="n">
        <v>100</v>
      </c>
      <c r="O88" s="75" t="s">
        <v>373</v>
      </c>
      <c r="P88" s="79" t="n">
        <v>100</v>
      </c>
      <c r="Q88" s="75" t="s">
        <v>384</v>
      </c>
      <c r="R88" s="79" t="n">
        <v>75</v>
      </c>
      <c r="S88" s="75" t="s">
        <v>381</v>
      </c>
      <c r="T88" s="79" t="n">
        <v>75</v>
      </c>
      <c r="U88" s="75" t="s">
        <v>383</v>
      </c>
      <c r="V88" s="79" t="n">
        <v>50</v>
      </c>
      <c r="W88" s="75" t="s">
        <v>375</v>
      </c>
      <c r="X88" s="79" t="n">
        <v>75</v>
      </c>
      <c r="Y88" s="75" t="s">
        <v>380</v>
      </c>
      <c r="Z88" s="79" t="n">
        <v>50</v>
      </c>
      <c r="AA88" s="75" t="s">
        <v>381</v>
      </c>
      <c r="AB88" s="79" t="n">
        <v>75</v>
      </c>
    </row>
    <row r="89" customFormat="false" ht="15.75" hidden="false" customHeight="true" outlineLevel="0" collapsed="false">
      <c r="A89" s="77" t="s">
        <v>332</v>
      </c>
      <c r="B89" s="77" t="s">
        <v>333</v>
      </c>
      <c r="C89" s="77" t="s">
        <v>33</v>
      </c>
      <c r="D89" s="77" t="s">
        <v>62</v>
      </c>
      <c r="E89" s="77" t="s">
        <v>382</v>
      </c>
      <c r="F89" s="81" t="n">
        <v>100</v>
      </c>
      <c r="G89" s="77" t="s">
        <v>373</v>
      </c>
      <c r="H89" s="81" t="n">
        <v>75</v>
      </c>
      <c r="I89" s="77" t="s">
        <v>374</v>
      </c>
      <c r="J89" s="81" t="n">
        <v>100</v>
      </c>
      <c r="K89" s="77" t="s">
        <v>380</v>
      </c>
      <c r="L89" s="81" t="n">
        <v>50</v>
      </c>
      <c r="M89" s="77" t="s">
        <v>373</v>
      </c>
      <c r="N89" s="81" t="n">
        <v>100</v>
      </c>
      <c r="O89" s="77" t="s">
        <v>375</v>
      </c>
      <c r="P89" s="81" t="n">
        <v>100</v>
      </c>
      <c r="Q89" s="77" t="s">
        <v>373</v>
      </c>
      <c r="R89" s="81" t="n">
        <v>25</v>
      </c>
      <c r="S89" s="77" t="s">
        <v>380</v>
      </c>
      <c r="T89" s="81" t="n">
        <v>50</v>
      </c>
      <c r="U89" s="77" t="s">
        <v>380</v>
      </c>
      <c r="V89" s="81" t="n">
        <v>50</v>
      </c>
      <c r="W89" s="77" t="s">
        <v>379</v>
      </c>
      <c r="X89" s="81" t="n">
        <v>25</v>
      </c>
      <c r="Y89" s="77" t="s">
        <v>374</v>
      </c>
      <c r="Z89" s="81" t="n">
        <v>100</v>
      </c>
      <c r="AA89" s="77" t="s">
        <v>374</v>
      </c>
      <c r="AB89" s="81" t="n">
        <v>50</v>
      </c>
    </row>
    <row r="90" customFormat="false" ht="15.75" hidden="false" customHeight="true" outlineLevel="0" collapsed="false">
      <c r="A90" s="75" t="s">
        <v>335</v>
      </c>
      <c r="B90" s="75" t="s">
        <v>336</v>
      </c>
      <c r="C90" s="75" t="s">
        <v>37</v>
      </c>
      <c r="D90" s="75" t="s">
        <v>62</v>
      </c>
      <c r="E90" s="75" t="s">
        <v>381</v>
      </c>
      <c r="F90" s="79" t="n">
        <v>75</v>
      </c>
      <c r="G90" s="75" t="s">
        <v>374</v>
      </c>
      <c r="H90" s="79" t="n">
        <v>25</v>
      </c>
      <c r="I90" s="75" t="s">
        <v>384</v>
      </c>
      <c r="J90" s="79" t="n">
        <v>100</v>
      </c>
      <c r="K90" s="75" t="s">
        <v>379</v>
      </c>
      <c r="L90" s="79" t="n">
        <v>100</v>
      </c>
      <c r="M90" s="75" t="s">
        <v>382</v>
      </c>
      <c r="N90" s="79" t="n">
        <v>75</v>
      </c>
      <c r="O90" s="75" t="s">
        <v>377</v>
      </c>
      <c r="P90" s="79" t="n">
        <v>75</v>
      </c>
      <c r="Q90" s="75" t="s">
        <v>379</v>
      </c>
      <c r="R90" s="79" t="n">
        <v>50</v>
      </c>
      <c r="S90" s="75" t="s">
        <v>374</v>
      </c>
      <c r="T90" s="79" t="n">
        <v>100</v>
      </c>
      <c r="U90" s="75" t="s">
        <v>384</v>
      </c>
      <c r="V90" s="79" t="n">
        <v>100</v>
      </c>
      <c r="W90" s="75" t="s">
        <v>376</v>
      </c>
      <c r="X90" s="79" t="n">
        <v>100</v>
      </c>
      <c r="Y90" s="75" t="s">
        <v>380</v>
      </c>
      <c r="Z90" s="79" t="n">
        <v>100</v>
      </c>
      <c r="AA90" s="75" t="s">
        <v>380</v>
      </c>
      <c r="AB90" s="79" t="n">
        <v>100</v>
      </c>
    </row>
    <row r="91" customFormat="false" ht="15.75" hidden="false" customHeight="true" outlineLevel="0" collapsed="false">
      <c r="A91" s="77" t="s">
        <v>85</v>
      </c>
      <c r="B91" s="77" t="s">
        <v>337</v>
      </c>
      <c r="C91" s="77" t="s">
        <v>45</v>
      </c>
      <c r="D91" s="77" t="s">
        <v>62</v>
      </c>
      <c r="E91" s="77" t="s">
        <v>385</v>
      </c>
      <c r="F91" s="81" t="n">
        <v>100</v>
      </c>
      <c r="G91" s="77" t="s">
        <v>385</v>
      </c>
      <c r="H91" s="81" t="n">
        <v>25</v>
      </c>
      <c r="I91" s="77" t="s">
        <v>384</v>
      </c>
      <c r="J91" s="81" t="n">
        <v>75</v>
      </c>
      <c r="K91" s="77" t="s">
        <v>374</v>
      </c>
      <c r="L91" s="81" t="n">
        <v>25</v>
      </c>
      <c r="M91" s="77" t="s">
        <v>376</v>
      </c>
      <c r="N91" s="81" t="n">
        <v>50</v>
      </c>
      <c r="O91" s="77" t="s">
        <v>379</v>
      </c>
      <c r="P91" s="81" t="n">
        <v>75</v>
      </c>
      <c r="Q91" s="77" t="s">
        <v>382</v>
      </c>
      <c r="R91" s="81" t="n">
        <v>25</v>
      </c>
      <c r="S91" s="77" t="s">
        <v>380</v>
      </c>
      <c r="T91" s="81" t="n">
        <v>100</v>
      </c>
      <c r="U91" s="77" t="s">
        <v>384</v>
      </c>
      <c r="V91" s="81" t="n">
        <v>75</v>
      </c>
      <c r="W91" s="77" t="s">
        <v>384</v>
      </c>
      <c r="X91" s="81" t="n">
        <v>100</v>
      </c>
      <c r="Y91" s="77" t="s">
        <v>376</v>
      </c>
      <c r="Z91" s="81" t="n">
        <v>25</v>
      </c>
      <c r="AA91" s="77" t="s">
        <v>376</v>
      </c>
      <c r="AB91" s="81" t="n">
        <v>75</v>
      </c>
    </row>
    <row r="92" customFormat="false" ht="15.75" hidden="false" customHeight="true" outlineLevel="0" collapsed="false">
      <c r="A92" s="75" t="s">
        <v>61</v>
      </c>
      <c r="B92" s="75" t="s">
        <v>338</v>
      </c>
      <c r="C92" s="75" t="s">
        <v>33</v>
      </c>
      <c r="D92" s="75" t="s">
        <v>62</v>
      </c>
      <c r="E92" s="75" t="s">
        <v>377</v>
      </c>
      <c r="F92" s="79" t="n">
        <v>50</v>
      </c>
      <c r="G92" s="75" t="s">
        <v>381</v>
      </c>
      <c r="H92" s="79" t="n">
        <v>75</v>
      </c>
      <c r="I92" s="75" t="s">
        <v>383</v>
      </c>
      <c r="J92" s="79" t="n">
        <v>100</v>
      </c>
      <c r="K92" s="75" t="s">
        <v>384</v>
      </c>
      <c r="L92" s="79" t="n">
        <v>50</v>
      </c>
      <c r="M92" s="75" t="s">
        <v>373</v>
      </c>
      <c r="N92" s="79" t="n">
        <v>25</v>
      </c>
      <c r="O92" s="75" t="s">
        <v>381</v>
      </c>
      <c r="P92" s="79" t="n">
        <v>25</v>
      </c>
      <c r="Q92" s="75" t="s">
        <v>375</v>
      </c>
      <c r="R92" s="79" t="n">
        <v>100</v>
      </c>
      <c r="S92" s="75" t="s">
        <v>376</v>
      </c>
      <c r="T92" s="79" t="n">
        <v>25</v>
      </c>
      <c r="U92" s="75" t="s">
        <v>374</v>
      </c>
      <c r="V92" s="79" t="n">
        <v>50</v>
      </c>
      <c r="W92" s="75" t="s">
        <v>373</v>
      </c>
      <c r="X92" s="79" t="n">
        <v>75</v>
      </c>
      <c r="Y92" s="75" t="s">
        <v>373</v>
      </c>
      <c r="Z92" s="79" t="n">
        <v>100</v>
      </c>
      <c r="AA92" s="75" t="s">
        <v>384</v>
      </c>
      <c r="AB92" s="79" t="n">
        <v>50</v>
      </c>
    </row>
    <row r="93" customFormat="false" ht="15.75" hidden="false" customHeight="true" outlineLevel="0" collapsed="false">
      <c r="A93" s="77" t="s">
        <v>63</v>
      </c>
      <c r="B93" s="77" t="s">
        <v>339</v>
      </c>
      <c r="C93" s="77" t="s">
        <v>45</v>
      </c>
      <c r="D93" s="77" t="s">
        <v>62</v>
      </c>
      <c r="E93" s="77" t="s">
        <v>385</v>
      </c>
      <c r="F93" s="81" t="n">
        <v>100</v>
      </c>
      <c r="G93" s="77" t="s">
        <v>373</v>
      </c>
      <c r="H93" s="81" t="n">
        <v>100</v>
      </c>
      <c r="I93" s="77" t="s">
        <v>376</v>
      </c>
      <c r="J93" s="81" t="n">
        <v>100</v>
      </c>
      <c r="K93" s="77" t="s">
        <v>374</v>
      </c>
      <c r="L93" s="81" t="n">
        <v>100</v>
      </c>
      <c r="M93" s="77" t="s">
        <v>373</v>
      </c>
      <c r="N93" s="81" t="n">
        <v>25</v>
      </c>
      <c r="O93" s="77" t="s">
        <v>375</v>
      </c>
      <c r="P93" s="81" t="n">
        <v>25</v>
      </c>
      <c r="Q93" s="77" t="s">
        <v>384</v>
      </c>
      <c r="R93" s="81" t="n">
        <v>25</v>
      </c>
      <c r="S93" s="77" t="s">
        <v>378</v>
      </c>
      <c r="T93" s="81" t="n">
        <v>75</v>
      </c>
      <c r="U93" s="77" t="s">
        <v>379</v>
      </c>
      <c r="V93" s="81" t="n">
        <v>25</v>
      </c>
      <c r="W93" s="77" t="s">
        <v>379</v>
      </c>
      <c r="X93" s="81" t="n">
        <v>50</v>
      </c>
      <c r="Y93" s="77" t="s">
        <v>374</v>
      </c>
      <c r="Z93" s="81" t="n">
        <v>50</v>
      </c>
      <c r="AA93" s="77" t="s">
        <v>385</v>
      </c>
      <c r="AB93" s="81" t="n">
        <v>50</v>
      </c>
    </row>
    <row r="94" customFormat="false" ht="15.75" hidden="false" customHeight="true" outlineLevel="0" collapsed="false">
      <c r="A94" s="75" t="s">
        <v>340</v>
      </c>
      <c r="B94" s="75" t="s">
        <v>341</v>
      </c>
      <c r="C94" s="75" t="s">
        <v>46</v>
      </c>
      <c r="D94" s="75" t="s">
        <v>62</v>
      </c>
      <c r="E94" s="75" t="s">
        <v>385</v>
      </c>
      <c r="F94" s="79" t="n">
        <v>50</v>
      </c>
      <c r="G94" s="75" t="s">
        <v>373</v>
      </c>
      <c r="H94" s="79" t="n">
        <v>100</v>
      </c>
      <c r="I94" s="75" t="s">
        <v>381</v>
      </c>
      <c r="J94" s="79" t="n">
        <v>50</v>
      </c>
      <c r="K94" s="75" t="s">
        <v>384</v>
      </c>
      <c r="L94" s="79" t="n">
        <v>100</v>
      </c>
      <c r="M94" s="75" t="s">
        <v>379</v>
      </c>
      <c r="N94" s="79" t="n">
        <v>50</v>
      </c>
      <c r="O94" s="75" t="s">
        <v>382</v>
      </c>
      <c r="P94" s="79" t="n">
        <v>100</v>
      </c>
      <c r="Q94" s="75" t="s">
        <v>383</v>
      </c>
      <c r="R94" s="79" t="n">
        <v>25</v>
      </c>
      <c r="S94" s="75" t="s">
        <v>374</v>
      </c>
      <c r="T94" s="79" t="n">
        <v>50</v>
      </c>
      <c r="U94" s="75" t="s">
        <v>381</v>
      </c>
      <c r="V94" s="79" t="n">
        <v>100</v>
      </c>
      <c r="W94" s="75" t="s">
        <v>383</v>
      </c>
      <c r="X94" s="79" t="n">
        <v>25</v>
      </c>
      <c r="Y94" s="75" t="s">
        <v>374</v>
      </c>
      <c r="Z94" s="79" t="n">
        <v>50</v>
      </c>
      <c r="AA94" s="75" t="s">
        <v>377</v>
      </c>
      <c r="AB94" s="79" t="n">
        <v>75</v>
      </c>
    </row>
    <row r="95" customFormat="false" ht="15.75" hidden="false" customHeight="true" outlineLevel="0" collapsed="false">
      <c r="A95" s="77" t="s">
        <v>342</v>
      </c>
      <c r="B95" s="77" t="s">
        <v>343</v>
      </c>
      <c r="C95" s="77" t="s">
        <v>39</v>
      </c>
      <c r="D95" s="77" t="s">
        <v>62</v>
      </c>
      <c r="E95" s="77" t="s">
        <v>384</v>
      </c>
      <c r="F95" s="81" t="n">
        <v>25</v>
      </c>
      <c r="G95" s="77" t="s">
        <v>380</v>
      </c>
      <c r="H95" s="81" t="n">
        <v>25</v>
      </c>
      <c r="I95" s="77" t="s">
        <v>384</v>
      </c>
      <c r="J95" s="81" t="n">
        <v>50</v>
      </c>
      <c r="K95" s="77" t="s">
        <v>373</v>
      </c>
      <c r="L95" s="81" t="n">
        <v>75</v>
      </c>
      <c r="M95" s="77" t="s">
        <v>377</v>
      </c>
      <c r="N95" s="81" t="n">
        <v>100</v>
      </c>
      <c r="O95" s="77" t="s">
        <v>376</v>
      </c>
      <c r="P95" s="81" t="n">
        <v>75</v>
      </c>
      <c r="Q95" s="77" t="s">
        <v>379</v>
      </c>
      <c r="R95" s="81" t="n">
        <v>100</v>
      </c>
      <c r="S95" s="77" t="s">
        <v>385</v>
      </c>
      <c r="T95" s="81" t="n">
        <v>75</v>
      </c>
      <c r="U95" s="77" t="s">
        <v>380</v>
      </c>
      <c r="V95" s="81" t="n">
        <v>100</v>
      </c>
      <c r="W95" s="77" t="s">
        <v>380</v>
      </c>
      <c r="X95" s="81" t="n">
        <v>100</v>
      </c>
      <c r="Y95" s="77" t="s">
        <v>380</v>
      </c>
      <c r="Z95" s="81" t="n">
        <v>25</v>
      </c>
      <c r="AA95" s="77" t="s">
        <v>373</v>
      </c>
      <c r="AB95" s="81" t="n">
        <v>75</v>
      </c>
    </row>
    <row r="96" customFormat="false" ht="15.75" hidden="false" customHeight="true" outlineLevel="0" collapsed="false">
      <c r="A96" s="75" t="s">
        <v>344</v>
      </c>
      <c r="B96" s="75" t="s">
        <v>345</v>
      </c>
      <c r="C96" s="75" t="s">
        <v>39</v>
      </c>
      <c r="D96" s="75" t="s">
        <v>62</v>
      </c>
      <c r="E96" s="75" t="s">
        <v>381</v>
      </c>
      <c r="F96" s="79" t="n">
        <v>50</v>
      </c>
      <c r="G96" s="75" t="s">
        <v>379</v>
      </c>
      <c r="H96" s="79" t="n">
        <v>75</v>
      </c>
      <c r="I96" s="75" t="s">
        <v>380</v>
      </c>
      <c r="J96" s="79" t="n">
        <v>25</v>
      </c>
      <c r="K96" s="75" t="s">
        <v>379</v>
      </c>
      <c r="L96" s="79" t="n">
        <v>50</v>
      </c>
      <c r="M96" s="75" t="s">
        <v>373</v>
      </c>
      <c r="N96" s="79" t="n">
        <v>25</v>
      </c>
      <c r="O96" s="75" t="s">
        <v>377</v>
      </c>
      <c r="P96" s="79" t="n">
        <v>75</v>
      </c>
      <c r="Q96" s="75" t="s">
        <v>376</v>
      </c>
      <c r="R96" s="79" t="n">
        <v>50</v>
      </c>
      <c r="S96" s="75" t="s">
        <v>373</v>
      </c>
      <c r="T96" s="79" t="n">
        <v>50</v>
      </c>
      <c r="U96" s="75" t="s">
        <v>385</v>
      </c>
      <c r="V96" s="79" t="n">
        <v>100</v>
      </c>
      <c r="W96" s="75" t="s">
        <v>383</v>
      </c>
      <c r="X96" s="79" t="n">
        <v>50</v>
      </c>
      <c r="Y96" s="75" t="s">
        <v>380</v>
      </c>
      <c r="Z96" s="79" t="n">
        <v>100</v>
      </c>
      <c r="AA96" s="75" t="s">
        <v>383</v>
      </c>
      <c r="AB96" s="79" t="n">
        <v>50</v>
      </c>
    </row>
    <row r="97" customFormat="false" ht="15.75" hidden="false" customHeight="true" outlineLevel="0" collapsed="false">
      <c r="A97" s="77" t="s">
        <v>346</v>
      </c>
      <c r="B97" s="77" t="s">
        <v>347</v>
      </c>
      <c r="C97" s="77" t="s">
        <v>33</v>
      </c>
      <c r="D97" s="77" t="s">
        <v>62</v>
      </c>
      <c r="E97" s="77" t="s">
        <v>381</v>
      </c>
      <c r="F97" s="81" t="n">
        <v>50</v>
      </c>
      <c r="G97" s="77" t="s">
        <v>385</v>
      </c>
      <c r="H97" s="81" t="n">
        <v>50</v>
      </c>
      <c r="I97" s="77" t="s">
        <v>381</v>
      </c>
      <c r="J97" s="81" t="n">
        <v>75</v>
      </c>
      <c r="K97" s="77" t="s">
        <v>382</v>
      </c>
      <c r="L97" s="81" t="n">
        <v>50</v>
      </c>
      <c r="M97" s="77" t="s">
        <v>373</v>
      </c>
      <c r="N97" s="81" t="n">
        <v>100</v>
      </c>
      <c r="O97" s="77" t="s">
        <v>380</v>
      </c>
      <c r="P97" s="81" t="n">
        <v>25</v>
      </c>
      <c r="Q97" s="77" t="s">
        <v>373</v>
      </c>
      <c r="R97" s="81" t="n">
        <v>25</v>
      </c>
      <c r="S97" s="77" t="s">
        <v>381</v>
      </c>
      <c r="T97" s="81" t="n">
        <v>50</v>
      </c>
      <c r="U97" s="77" t="s">
        <v>377</v>
      </c>
      <c r="V97" s="81" t="n">
        <v>100</v>
      </c>
      <c r="W97" s="77" t="s">
        <v>385</v>
      </c>
      <c r="X97" s="81" t="n">
        <v>100</v>
      </c>
      <c r="Y97" s="77" t="s">
        <v>383</v>
      </c>
      <c r="Z97" s="81" t="n">
        <v>100</v>
      </c>
      <c r="AA97" s="77" t="s">
        <v>383</v>
      </c>
      <c r="AB97" s="81" t="n">
        <v>100</v>
      </c>
    </row>
    <row r="98" customFormat="false" ht="15.75" hidden="false" customHeight="true" outlineLevel="0" collapsed="false">
      <c r="A98" s="75" t="s">
        <v>348</v>
      </c>
      <c r="B98" s="75" t="s">
        <v>349</v>
      </c>
      <c r="C98" s="75" t="s">
        <v>35</v>
      </c>
      <c r="D98" s="75" t="s">
        <v>62</v>
      </c>
      <c r="E98" s="75" t="s">
        <v>381</v>
      </c>
      <c r="F98" s="79" t="n">
        <v>50</v>
      </c>
      <c r="G98" s="75" t="s">
        <v>376</v>
      </c>
      <c r="H98" s="79" t="n">
        <v>25</v>
      </c>
      <c r="I98" s="75" t="s">
        <v>384</v>
      </c>
      <c r="J98" s="79" t="n">
        <v>50</v>
      </c>
      <c r="K98" s="75" t="s">
        <v>375</v>
      </c>
      <c r="L98" s="79" t="n">
        <v>25</v>
      </c>
      <c r="M98" s="75" t="s">
        <v>375</v>
      </c>
      <c r="N98" s="79" t="n">
        <v>50</v>
      </c>
      <c r="O98" s="75" t="s">
        <v>385</v>
      </c>
      <c r="P98" s="79" t="n">
        <v>75</v>
      </c>
      <c r="Q98" s="75" t="s">
        <v>382</v>
      </c>
      <c r="R98" s="79" t="n">
        <v>100</v>
      </c>
      <c r="S98" s="75" t="s">
        <v>380</v>
      </c>
      <c r="T98" s="79" t="n">
        <v>100</v>
      </c>
      <c r="U98" s="75" t="s">
        <v>385</v>
      </c>
      <c r="V98" s="79" t="n">
        <v>25</v>
      </c>
      <c r="W98" s="75" t="s">
        <v>380</v>
      </c>
      <c r="X98" s="79" t="n">
        <v>25</v>
      </c>
      <c r="Y98" s="75" t="s">
        <v>375</v>
      </c>
      <c r="Z98" s="79" t="n">
        <v>75</v>
      </c>
      <c r="AA98" s="75" t="s">
        <v>385</v>
      </c>
      <c r="AB98" s="79" t="n">
        <v>25</v>
      </c>
    </row>
    <row r="99" customFormat="false" ht="15.75" hidden="false" customHeight="true" outlineLevel="0" collapsed="false">
      <c r="A99" s="77" t="s">
        <v>350</v>
      </c>
      <c r="B99" s="77" t="s">
        <v>351</v>
      </c>
      <c r="C99" s="77" t="s">
        <v>39</v>
      </c>
      <c r="D99" s="77" t="s">
        <v>62</v>
      </c>
      <c r="E99" s="77" t="s">
        <v>384</v>
      </c>
      <c r="F99" s="81" t="n">
        <v>100</v>
      </c>
      <c r="G99" s="77" t="s">
        <v>385</v>
      </c>
      <c r="H99" s="81" t="n">
        <v>50</v>
      </c>
      <c r="I99" s="77" t="s">
        <v>383</v>
      </c>
      <c r="J99" s="81" t="n">
        <v>25</v>
      </c>
      <c r="K99" s="77" t="s">
        <v>374</v>
      </c>
      <c r="L99" s="81" t="n">
        <v>50</v>
      </c>
      <c r="M99" s="77" t="s">
        <v>375</v>
      </c>
      <c r="N99" s="81" t="n">
        <v>25</v>
      </c>
      <c r="O99" s="77" t="s">
        <v>381</v>
      </c>
      <c r="P99" s="81" t="n">
        <v>75</v>
      </c>
      <c r="Q99" s="77" t="s">
        <v>373</v>
      </c>
      <c r="R99" s="81" t="n">
        <v>25</v>
      </c>
      <c r="S99" s="77" t="s">
        <v>381</v>
      </c>
      <c r="T99" s="81" t="n">
        <v>25</v>
      </c>
      <c r="U99" s="77" t="s">
        <v>384</v>
      </c>
      <c r="V99" s="81" t="n">
        <v>50</v>
      </c>
      <c r="W99" s="77" t="s">
        <v>377</v>
      </c>
      <c r="X99" s="81" t="n">
        <v>75</v>
      </c>
      <c r="Y99" s="77" t="s">
        <v>374</v>
      </c>
      <c r="Z99" s="81" t="n">
        <v>100</v>
      </c>
      <c r="AA99" s="77" t="s">
        <v>382</v>
      </c>
      <c r="AB99" s="81" t="n">
        <v>50</v>
      </c>
    </row>
    <row r="100" customFormat="false" ht="15.75" hidden="false" customHeight="true" outlineLevel="0" collapsed="false">
      <c r="A100" s="75" t="s">
        <v>352</v>
      </c>
      <c r="B100" s="75" t="s">
        <v>353</v>
      </c>
      <c r="C100" s="75" t="s">
        <v>44</v>
      </c>
      <c r="D100" s="75" t="s">
        <v>62</v>
      </c>
      <c r="E100" s="75" t="s">
        <v>384</v>
      </c>
      <c r="F100" s="79" t="n">
        <v>50</v>
      </c>
      <c r="G100" s="75" t="s">
        <v>377</v>
      </c>
      <c r="H100" s="79" t="n">
        <v>25</v>
      </c>
      <c r="I100" s="75" t="s">
        <v>380</v>
      </c>
      <c r="J100" s="79" t="n">
        <v>75</v>
      </c>
      <c r="K100" s="75" t="s">
        <v>385</v>
      </c>
      <c r="L100" s="79" t="n">
        <v>75</v>
      </c>
      <c r="M100" s="75" t="s">
        <v>380</v>
      </c>
      <c r="N100" s="79" t="n">
        <v>50</v>
      </c>
      <c r="O100" s="75" t="s">
        <v>373</v>
      </c>
      <c r="P100" s="79" t="n">
        <v>75</v>
      </c>
      <c r="Q100" s="75" t="s">
        <v>375</v>
      </c>
      <c r="R100" s="79" t="n">
        <v>75</v>
      </c>
      <c r="S100" s="75" t="s">
        <v>385</v>
      </c>
      <c r="T100" s="79" t="n">
        <v>25</v>
      </c>
      <c r="U100" s="75" t="s">
        <v>382</v>
      </c>
      <c r="V100" s="79" t="n">
        <v>100</v>
      </c>
      <c r="W100" s="75" t="s">
        <v>378</v>
      </c>
      <c r="X100" s="79" t="n">
        <v>75</v>
      </c>
      <c r="Y100" s="75" t="s">
        <v>379</v>
      </c>
      <c r="Z100" s="79" t="n">
        <v>50</v>
      </c>
      <c r="AA100" s="75" t="s">
        <v>374</v>
      </c>
      <c r="AB100" s="79" t="n">
        <v>50</v>
      </c>
    </row>
    <row r="101" customFormat="false" ht="15.75" hidden="false" customHeight="true" outlineLevel="0" collapsed="false">
      <c r="A101" s="77" t="s">
        <v>354</v>
      </c>
      <c r="B101" s="77" t="s">
        <v>355</v>
      </c>
      <c r="C101" s="77" t="s">
        <v>44</v>
      </c>
      <c r="D101" s="77" t="s">
        <v>62</v>
      </c>
      <c r="E101" s="77" t="s">
        <v>377</v>
      </c>
      <c r="F101" s="81" t="n">
        <v>50</v>
      </c>
      <c r="G101" s="77" t="s">
        <v>374</v>
      </c>
      <c r="H101" s="81" t="n">
        <v>75</v>
      </c>
      <c r="I101" s="77" t="s">
        <v>377</v>
      </c>
      <c r="J101" s="81" t="n">
        <v>100</v>
      </c>
      <c r="K101" s="77" t="s">
        <v>381</v>
      </c>
      <c r="L101" s="81" t="n">
        <v>50</v>
      </c>
      <c r="M101" s="77" t="s">
        <v>380</v>
      </c>
      <c r="N101" s="81" t="n">
        <v>75</v>
      </c>
      <c r="O101" s="77" t="s">
        <v>379</v>
      </c>
      <c r="P101" s="81" t="n">
        <v>100</v>
      </c>
      <c r="Q101" s="77" t="s">
        <v>383</v>
      </c>
      <c r="R101" s="81" t="n">
        <v>100</v>
      </c>
      <c r="S101" s="77" t="s">
        <v>376</v>
      </c>
      <c r="T101" s="81" t="n">
        <v>25</v>
      </c>
      <c r="U101" s="77" t="s">
        <v>383</v>
      </c>
      <c r="V101" s="81" t="n">
        <v>75</v>
      </c>
      <c r="W101" s="77" t="s">
        <v>374</v>
      </c>
      <c r="X101" s="81" t="n">
        <v>75</v>
      </c>
      <c r="Y101" s="77" t="s">
        <v>381</v>
      </c>
      <c r="Z101" s="81" t="n">
        <v>100</v>
      </c>
      <c r="AA101" s="77" t="s">
        <v>373</v>
      </c>
      <c r="AB101" s="81" t="n">
        <v>25</v>
      </c>
    </row>
    <row r="102" customFormat="false" ht="15.75" hidden="false" customHeight="true" outlineLevel="0" collapsed="false">
      <c r="A102" s="75" t="s">
        <v>356</v>
      </c>
      <c r="B102" s="75" t="s">
        <v>357</v>
      </c>
      <c r="C102" s="75" t="s">
        <v>39</v>
      </c>
      <c r="D102" s="75" t="s">
        <v>62</v>
      </c>
      <c r="E102" s="75" t="s">
        <v>384</v>
      </c>
      <c r="F102" s="79" t="n">
        <v>25</v>
      </c>
      <c r="G102" s="75" t="s">
        <v>374</v>
      </c>
      <c r="H102" s="79" t="n">
        <v>100</v>
      </c>
      <c r="I102" s="75" t="s">
        <v>379</v>
      </c>
      <c r="J102" s="79" t="n">
        <v>75</v>
      </c>
      <c r="K102" s="75" t="s">
        <v>376</v>
      </c>
      <c r="L102" s="79" t="n">
        <v>100</v>
      </c>
      <c r="M102" s="75" t="s">
        <v>377</v>
      </c>
      <c r="N102" s="79" t="n">
        <v>100</v>
      </c>
      <c r="O102" s="75" t="s">
        <v>377</v>
      </c>
      <c r="P102" s="79" t="n">
        <v>100</v>
      </c>
      <c r="Q102" s="75" t="s">
        <v>375</v>
      </c>
      <c r="R102" s="79" t="n">
        <v>75</v>
      </c>
      <c r="S102" s="75" t="s">
        <v>375</v>
      </c>
      <c r="T102" s="79" t="n">
        <v>75</v>
      </c>
      <c r="U102" s="75" t="s">
        <v>385</v>
      </c>
      <c r="V102" s="79" t="n">
        <v>50</v>
      </c>
      <c r="W102" s="75" t="s">
        <v>380</v>
      </c>
      <c r="X102" s="79" t="n">
        <v>100</v>
      </c>
      <c r="Y102" s="75" t="s">
        <v>384</v>
      </c>
      <c r="Z102" s="79" t="n">
        <v>75</v>
      </c>
      <c r="AA102" s="75" t="s">
        <v>379</v>
      </c>
      <c r="AB102" s="79" t="n">
        <v>25</v>
      </c>
    </row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2"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4360"/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8" min="5" style="0" width="18"/>
    <col collapsed="false" customWidth="true" hidden="false" outlineLevel="0" max="26" min="9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358</v>
      </c>
      <c r="E1" s="74" t="s">
        <v>386</v>
      </c>
      <c r="F1" s="74" t="s">
        <v>387</v>
      </c>
      <c r="G1" s="74" t="s">
        <v>388</v>
      </c>
      <c r="H1" s="74" t="s">
        <v>389</v>
      </c>
    </row>
    <row r="2" customFormat="false" ht="15" hidden="false" customHeight="false" outlineLevel="0" collapsed="false">
      <c r="A2" s="75" t="s">
        <v>91</v>
      </c>
      <c r="B2" s="75" t="s">
        <v>130</v>
      </c>
      <c r="C2" s="75" t="s">
        <v>41</v>
      </c>
      <c r="D2" s="75" t="s">
        <v>56</v>
      </c>
      <c r="E2" s="86" t="n">
        <v>2159593</v>
      </c>
      <c r="F2" s="86" t="n">
        <f aca="false">E2/12</f>
        <v>179966.083333333</v>
      </c>
      <c r="G2" s="80" t="n">
        <v>25863</v>
      </c>
      <c r="H2" s="80" t="n">
        <f aca="false">G2/12</f>
        <v>2155.25</v>
      </c>
    </row>
    <row r="3" customFormat="false" ht="15" hidden="false" customHeight="false" outlineLevel="0" collapsed="false">
      <c r="A3" s="77" t="s">
        <v>136</v>
      </c>
      <c r="B3" s="77" t="s">
        <v>137</v>
      </c>
      <c r="C3" s="77" t="s">
        <v>39</v>
      </c>
      <c r="D3" s="77" t="s">
        <v>56</v>
      </c>
      <c r="E3" s="87" t="n">
        <v>2172573</v>
      </c>
      <c r="F3" s="87" t="n">
        <f aca="false">E3/12</f>
        <v>181047.75</v>
      </c>
      <c r="G3" s="82" t="n">
        <v>26019</v>
      </c>
      <c r="H3" s="82" t="n">
        <f aca="false">G3/12</f>
        <v>2168.25</v>
      </c>
    </row>
    <row r="4" customFormat="false" ht="15" hidden="false" customHeight="false" outlineLevel="0" collapsed="false">
      <c r="A4" s="75" t="s">
        <v>141</v>
      </c>
      <c r="B4" s="75" t="s">
        <v>142</v>
      </c>
      <c r="C4" s="75" t="s">
        <v>41</v>
      </c>
      <c r="D4" s="75" t="s">
        <v>56</v>
      </c>
      <c r="E4" s="86" t="n">
        <v>789004</v>
      </c>
      <c r="F4" s="86" t="n">
        <f aca="false">E4/12</f>
        <v>65750.3333333333</v>
      </c>
      <c r="G4" s="80" t="n">
        <v>9449</v>
      </c>
      <c r="H4" s="80" t="n">
        <f aca="false">G4/12</f>
        <v>787.416666666667</v>
      </c>
    </row>
    <row r="5" customFormat="false" ht="15" hidden="false" customHeight="false" outlineLevel="0" collapsed="false">
      <c r="A5" s="77" t="s">
        <v>144</v>
      </c>
      <c r="B5" s="77" t="s">
        <v>145</v>
      </c>
      <c r="C5" s="77" t="s">
        <v>46</v>
      </c>
      <c r="D5" s="77" t="s">
        <v>56</v>
      </c>
      <c r="E5" s="87" t="n">
        <v>2649103</v>
      </c>
      <c r="F5" s="87" t="n">
        <f aca="false">E5/12</f>
        <v>220758.583333333</v>
      </c>
      <c r="G5" s="82" t="n">
        <v>31726</v>
      </c>
      <c r="H5" s="82" t="n">
        <f aca="false">G5/12</f>
        <v>2643.83333333333</v>
      </c>
    </row>
    <row r="6" customFormat="false" ht="15" hidden="false" customHeight="false" outlineLevel="0" collapsed="false">
      <c r="A6" s="75" t="s">
        <v>149</v>
      </c>
      <c r="B6" s="75" t="s">
        <v>150</v>
      </c>
      <c r="C6" s="75" t="s">
        <v>45</v>
      </c>
      <c r="D6" s="75" t="s">
        <v>56</v>
      </c>
      <c r="E6" s="86" t="n">
        <v>1916807</v>
      </c>
      <c r="F6" s="86" t="n">
        <f aca="false">E6/12</f>
        <v>159733.916666667</v>
      </c>
      <c r="G6" s="80" t="n">
        <v>22956</v>
      </c>
      <c r="H6" s="80" t="n">
        <f aca="false">G6/12</f>
        <v>1913</v>
      </c>
    </row>
    <row r="7" customFormat="false" ht="15" hidden="false" customHeight="false" outlineLevel="0" collapsed="false">
      <c r="A7" s="77" t="s">
        <v>154</v>
      </c>
      <c r="B7" s="77" t="s">
        <v>155</v>
      </c>
      <c r="C7" s="77" t="s">
        <v>37</v>
      </c>
      <c r="D7" s="77" t="s">
        <v>56</v>
      </c>
      <c r="E7" s="87" t="n">
        <v>1376395</v>
      </c>
      <c r="F7" s="87" t="n">
        <f aca="false">E7/12</f>
        <v>114699.583333333</v>
      </c>
      <c r="G7" s="82" t="n">
        <v>16484</v>
      </c>
      <c r="H7" s="82" t="n">
        <f aca="false">G7/12</f>
        <v>1373.66666666667</v>
      </c>
    </row>
    <row r="8" customFormat="false" ht="15" hidden="false" customHeight="false" outlineLevel="0" collapsed="false">
      <c r="A8" s="75" t="s">
        <v>159</v>
      </c>
      <c r="B8" s="75" t="s">
        <v>160</v>
      </c>
      <c r="C8" s="75" t="s">
        <v>44</v>
      </c>
      <c r="D8" s="75" t="s">
        <v>56</v>
      </c>
      <c r="E8" s="86" t="n">
        <v>1952651</v>
      </c>
      <c r="F8" s="86" t="n">
        <f aca="false">E8/12</f>
        <v>162720.916666667</v>
      </c>
      <c r="G8" s="80" t="n">
        <v>23385</v>
      </c>
      <c r="H8" s="80" t="n">
        <f aca="false">G8/12</f>
        <v>1948.75</v>
      </c>
    </row>
    <row r="9" customFormat="false" ht="15" hidden="false" customHeight="false" outlineLevel="0" collapsed="false">
      <c r="A9" s="77" t="s">
        <v>164</v>
      </c>
      <c r="B9" s="77" t="s">
        <v>165</v>
      </c>
      <c r="C9" s="77" t="s">
        <v>45</v>
      </c>
      <c r="D9" s="77" t="s">
        <v>56</v>
      </c>
      <c r="E9" s="87" t="n">
        <v>1426811</v>
      </c>
      <c r="F9" s="87" t="n">
        <f aca="false">E9/12</f>
        <v>118900.916666667</v>
      </c>
      <c r="G9" s="82" t="n">
        <v>17088</v>
      </c>
      <c r="H9" s="82" t="n">
        <f aca="false">G9/12</f>
        <v>1424</v>
      </c>
    </row>
    <row r="10" customFormat="false" ht="15" hidden="false" customHeight="false" outlineLevel="0" collapsed="false">
      <c r="A10" s="75" t="s">
        <v>167</v>
      </c>
      <c r="B10" s="75" t="s">
        <v>168</v>
      </c>
      <c r="C10" s="75" t="s">
        <v>39</v>
      </c>
      <c r="D10" s="75" t="s">
        <v>56</v>
      </c>
      <c r="E10" s="86" t="n">
        <v>2736016</v>
      </c>
      <c r="F10" s="86" t="n">
        <f aca="false">E10/12</f>
        <v>228001.333333333</v>
      </c>
      <c r="G10" s="80" t="n">
        <v>32767</v>
      </c>
      <c r="H10" s="80" t="n">
        <f aca="false">G10/12</f>
        <v>2730.58333333333</v>
      </c>
    </row>
    <row r="11" customFormat="false" ht="15" hidden="false" customHeight="false" outlineLevel="0" collapsed="false">
      <c r="A11" s="77" t="s">
        <v>170</v>
      </c>
      <c r="B11" s="77" t="s">
        <v>171</v>
      </c>
      <c r="C11" s="77" t="s">
        <v>37</v>
      </c>
      <c r="D11" s="77" t="s">
        <v>56</v>
      </c>
      <c r="E11" s="87" t="n">
        <v>2082607</v>
      </c>
      <c r="F11" s="87" t="n">
        <f aca="false">E11/12</f>
        <v>173550.583333333</v>
      </c>
      <c r="G11" s="82" t="n">
        <v>24941</v>
      </c>
      <c r="H11" s="82" t="n">
        <f aca="false">G11/12</f>
        <v>2078.41666666667</v>
      </c>
    </row>
    <row r="12" customFormat="false" ht="15" hidden="false" customHeight="false" outlineLevel="0" collapsed="false">
      <c r="A12" s="75" t="s">
        <v>173</v>
      </c>
      <c r="B12" s="75" t="s">
        <v>174</v>
      </c>
      <c r="C12" s="75" t="s">
        <v>33</v>
      </c>
      <c r="D12" s="75" t="s">
        <v>56</v>
      </c>
      <c r="E12" s="86" t="n">
        <v>2493927</v>
      </c>
      <c r="F12" s="86" t="n">
        <f aca="false">E12/12</f>
        <v>207827.25</v>
      </c>
      <c r="G12" s="80" t="n">
        <v>29867</v>
      </c>
      <c r="H12" s="80" t="n">
        <f aca="false">G12/12</f>
        <v>2488.91666666667</v>
      </c>
    </row>
    <row r="13" customFormat="false" ht="15" hidden="false" customHeight="false" outlineLevel="0" collapsed="false">
      <c r="A13" s="77" t="s">
        <v>178</v>
      </c>
      <c r="B13" s="77" t="s">
        <v>179</v>
      </c>
      <c r="C13" s="77" t="s">
        <v>35</v>
      </c>
      <c r="D13" s="77" t="s">
        <v>56</v>
      </c>
      <c r="E13" s="87" t="n">
        <v>2660634</v>
      </c>
      <c r="F13" s="87" t="n">
        <f aca="false">E13/12</f>
        <v>221719.5</v>
      </c>
      <c r="G13" s="82" t="n">
        <v>31864</v>
      </c>
      <c r="H13" s="82" t="n">
        <f aca="false">G13/12</f>
        <v>2655.33333333333</v>
      </c>
    </row>
    <row r="14" customFormat="false" ht="15" hidden="false" customHeight="false" outlineLevel="0" collapsed="false">
      <c r="A14" s="75" t="s">
        <v>183</v>
      </c>
      <c r="B14" s="75" t="s">
        <v>184</v>
      </c>
      <c r="C14" s="75" t="s">
        <v>43</v>
      </c>
      <c r="D14" s="75" t="s">
        <v>56</v>
      </c>
      <c r="E14" s="86" t="n">
        <v>1319897</v>
      </c>
      <c r="F14" s="86" t="n">
        <f aca="false">E14/12</f>
        <v>109991.416666667</v>
      </c>
      <c r="G14" s="80" t="n">
        <v>15807</v>
      </c>
      <c r="H14" s="80" t="n">
        <f aca="false">G14/12</f>
        <v>1317.25</v>
      </c>
    </row>
    <row r="15" customFormat="false" ht="15" hidden="false" customHeight="false" outlineLevel="0" collapsed="false">
      <c r="A15" s="77" t="s">
        <v>188</v>
      </c>
      <c r="B15" s="77" t="s">
        <v>189</v>
      </c>
      <c r="C15" s="77" t="s">
        <v>45</v>
      </c>
      <c r="D15" s="77" t="s">
        <v>56</v>
      </c>
      <c r="E15" s="87" t="n">
        <v>1071013</v>
      </c>
      <c r="F15" s="87" t="n">
        <f aca="false">E15/12</f>
        <v>89251.0833333333</v>
      </c>
      <c r="G15" s="82" t="n">
        <v>12827</v>
      </c>
      <c r="H15" s="82" t="n">
        <f aca="false">G15/12</f>
        <v>1068.91666666667</v>
      </c>
    </row>
    <row r="16" customFormat="false" ht="15" hidden="false" customHeight="false" outlineLevel="0" collapsed="false">
      <c r="A16" s="75" t="s">
        <v>190</v>
      </c>
      <c r="B16" s="75" t="s">
        <v>191</v>
      </c>
      <c r="C16" s="75" t="s">
        <v>45</v>
      </c>
      <c r="D16" s="75" t="s">
        <v>56</v>
      </c>
      <c r="E16" s="86" t="n">
        <v>2619266</v>
      </c>
      <c r="F16" s="86" t="n">
        <f aca="false">E16/12</f>
        <v>218272.166666667</v>
      </c>
      <c r="G16" s="80" t="n">
        <v>31368</v>
      </c>
      <c r="H16" s="80" t="n">
        <f aca="false">G16/12</f>
        <v>2614</v>
      </c>
    </row>
    <row r="17" customFormat="false" ht="15" hidden="false" customHeight="false" outlineLevel="0" collapsed="false">
      <c r="A17" s="77" t="s">
        <v>192</v>
      </c>
      <c r="B17" s="77" t="s">
        <v>193</v>
      </c>
      <c r="C17" s="77" t="s">
        <v>45</v>
      </c>
      <c r="D17" s="77" t="s">
        <v>56</v>
      </c>
      <c r="E17" s="87" t="n">
        <v>1826799</v>
      </c>
      <c r="F17" s="87" t="n">
        <f aca="false">E17/12</f>
        <v>152233.25</v>
      </c>
      <c r="G17" s="82" t="n">
        <v>21878</v>
      </c>
      <c r="H17" s="82" t="n">
        <f aca="false">G17/12</f>
        <v>1823.16666666667</v>
      </c>
    </row>
    <row r="18" customFormat="false" ht="15" hidden="false" customHeight="false" outlineLevel="0" collapsed="false">
      <c r="A18" s="75" t="s">
        <v>194</v>
      </c>
      <c r="B18" s="75" t="s">
        <v>195</v>
      </c>
      <c r="C18" s="75" t="s">
        <v>35</v>
      </c>
      <c r="D18" s="75" t="s">
        <v>56</v>
      </c>
      <c r="E18" s="86" t="n">
        <v>2499610</v>
      </c>
      <c r="F18" s="86" t="n">
        <f aca="false">E18/12</f>
        <v>208300.833333333</v>
      </c>
      <c r="G18" s="80" t="n">
        <v>29935</v>
      </c>
      <c r="H18" s="80" t="n">
        <f aca="false">G18/12</f>
        <v>2494.58333333333</v>
      </c>
    </row>
    <row r="19" customFormat="false" ht="15" hidden="false" customHeight="false" outlineLevel="0" collapsed="false">
      <c r="A19" s="77" t="s">
        <v>197</v>
      </c>
      <c r="B19" s="77" t="s">
        <v>198</v>
      </c>
      <c r="C19" s="77" t="s">
        <v>39</v>
      </c>
      <c r="D19" s="77" t="s">
        <v>56</v>
      </c>
      <c r="E19" s="87" t="n">
        <v>1234293</v>
      </c>
      <c r="F19" s="87" t="n">
        <f aca="false">E19/12</f>
        <v>102857.75</v>
      </c>
      <c r="G19" s="82" t="n">
        <v>14782</v>
      </c>
      <c r="H19" s="82" t="n">
        <f aca="false">G19/12</f>
        <v>1231.83333333333</v>
      </c>
    </row>
    <row r="20" customFormat="false" ht="15" hidden="false" customHeight="false" outlineLevel="0" collapsed="false">
      <c r="A20" s="75" t="s">
        <v>55</v>
      </c>
      <c r="B20" s="75" t="s">
        <v>199</v>
      </c>
      <c r="C20" s="75" t="s">
        <v>42</v>
      </c>
      <c r="D20" s="75" t="s">
        <v>56</v>
      </c>
      <c r="E20" s="86" t="n">
        <v>2912155</v>
      </c>
      <c r="F20" s="86" t="n">
        <f aca="false">E20/12</f>
        <v>242679.583333333</v>
      </c>
      <c r="G20" s="80" t="n">
        <v>34876</v>
      </c>
      <c r="H20" s="80" t="n">
        <f aca="false">G20/12</f>
        <v>2906.33333333333</v>
      </c>
    </row>
    <row r="21" customFormat="false" ht="15.75" hidden="false" customHeight="true" outlineLevel="0" collapsed="false">
      <c r="A21" s="77" t="s">
        <v>87</v>
      </c>
      <c r="B21" s="77" t="s">
        <v>204</v>
      </c>
      <c r="C21" s="77" t="s">
        <v>45</v>
      </c>
      <c r="D21" s="77" t="s">
        <v>56</v>
      </c>
      <c r="E21" s="87" t="n">
        <v>642955</v>
      </c>
      <c r="F21" s="87" t="n">
        <f aca="false">E21/12</f>
        <v>53579.5833333333</v>
      </c>
      <c r="G21" s="82" t="n">
        <v>7700</v>
      </c>
      <c r="H21" s="82" t="n">
        <f aca="false">G21/12</f>
        <v>641.666666666667</v>
      </c>
    </row>
    <row r="22" customFormat="false" ht="15.75" hidden="false" customHeight="true" outlineLevel="0" collapsed="false">
      <c r="A22" s="75" t="s">
        <v>69</v>
      </c>
      <c r="B22" s="75" t="s">
        <v>206</v>
      </c>
      <c r="C22" s="75" t="s">
        <v>45</v>
      </c>
      <c r="D22" s="75" t="s">
        <v>56</v>
      </c>
      <c r="E22" s="86" t="n">
        <v>159693</v>
      </c>
      <c r="F22" s="86" t="n">
        <f aca="false">E22/12</f>
        <v>13307.75</v>
      </c>
      <c r="G22" s="80" t="n">
        <v>1912</v>
      </c>
      <c r="H22" s="80" t="n">
        <f aca="false">G22/12</f>
        <v>159.333333333333</v>
      </c>
    </row>
    <row r="23" customFormat="false" ht="15.75" hidden="false" customHeight="true" outlineLevel="0" collapsed="false">
      <c r="A23" s="77" t="s">
        <v>90</v>
      </c>
      <c r="B23" s="77" t="s">
        <v>208</v>
      </c>
      <c r="C23" s="77" t="s">
        <v>35</v>
      </c>
      <c r="D23" s="77" t="s">
        <v>56</v>
      </c>
      <c r="E23" s="87" t="n">
        <v>1511728</v>
      </c>
      <c r="F23" s="87" t="n">
        <f aca="false">E23/12</f>
        <v>125977.333333333</v>
      </c>
      <c r="G23" s="82" t="n">
        <v>18105</v>
      </c>
      <c r="H23" s="82" t="n">
        <f aca="false">G23/12</f>
        <v>1508.75</v>
      </c>
    </row>
    <row r="24" customFormat="false" ht="15.75" hidden="false" customHeight="true" outlineLevel="0" collapsed="false">
      <c r="A24" s="75" t="s">
        <v>209</v>
      </c>
      <c r="B24" s="75" t="s">
        <v>210</v>
      </c>
      <c r="C24" s="75" t="s">
        <v>43</v>
      </c>
      <c r="D24" s="75" t="s">
        <v>56</v>
      </c>
      <c r="E24" s="86" t="n">
        <v>1243688</v>
      </c>
      <c r="F24" s="86" t="n">
        <f aca="false">E24/12</f>
        <v>103640.666666667</v>
      </c>
      <c r="G24" s="80" t="n">
        <v>14894</v>
      </c>
      <c r="H24" s="80" t="n">
        <f aca="false">G24/12</f>
        <v>1241.16666666667</v>
      </c>
    </row>
    <row r="25" customFormat="false" ht="15.75" hidden="false" customHeight="true" outlineLevel="0" collapsed="false">
      <c r="A25" s="77" t="s">
        <v>212</v>
      </c>
      <c r="B25" s="77" t="s">
        <v>213</v>
      </c>
      <c r="C25" s="77" t="s">
        <v>46</v>
      </c>
      <c r="D25" s="77" t="s">
        <v>56</v>
      </c>
      <c r="E25" s="87" t="n">
        <v>907528</v>
      </c>
      <c r="F25" s="87" t="n">
        <f aca="false">E25/12</f>
        <v>75627.3333333333</v>
      </c>
      <c r="G25" s="82" t="n">
        <v>10869</v>
      </c>
      <c r="H25" s="82" t="n">
        <f aca="false">G25/12</f>
        <v>905.75</v>
      </c>
    </row>
    <row r="26" customFormat="false" ht="15.75" hidden="false" customHeight="true" outlineLevel="0" collapsed="false">
      <c r="A26" s="75" t="s">
        <v>70</v>
      </c>
      <c r="B26" s="75" t="s">
        <v>215</v>
      </c>
      <c r="C26" s="75" t="s">
        <v>46</v>
      </c>
      <c r="D26" s="75" t="s">
        <v>56</v>
      </c>
      <c r="E26" s="86" t="n">
        <v>137128</v>
      </c>
      <c r="F26" s="86" t="n">
        <f aca="false">E26/12</f>
        <v>11427.3333333333</v>
      </c>
      <c r="G26" s="80" t="n">
        <v>1642</v>
      </c>
      <c r="H26" s="80" t="n">
        <f aca="false">G26/12</f>
        <v>136.833333333333</v>
      </c>
    </row>
    <row r="27" customFormat="false" ht="15.75" hidden="false" customHeight="true" outlineLevel="0" collapsed="false">
      <c r="A27" s="77" t="s">
        <v>216</v>
      </c>
      <c r="B27" s="77" t="s">
        <v>217</v>
      </c>
      <c r="C27" s="77" t="s">
        <v>37</v>
      </c>
      <c r="D27" s="77" t="s">
        <v>56</v>
      </c>
      <c r="E27" s="87" t="n">
        <v>697197</v>
      </c>
      <c r="F27" s="87" t="n">
        <f aca="false">E27/12</f>
        <v>58099.75</v>
      </c>
      <c r="G27" s="82" t="n">
        <v>8350</v>
      </c>
      <c r="H27" s="82" t="n">
        <f aca="false">G27/12</f>
        <v>695.833333333333</v>
      </c>
    </row>
    <row r="28" customFormat="false" ht="15.75" hidden="false" customHeight="true" outlineLevel="0" collapsed="false">
      <c r="A28" s="75" t="s">
        <v>218</v>
      </c>
      <c r="B28" s="75" t="s">
        <v>219</v>
      </c>
      <c r="C28" s="75" t="s">
        <v>44</v>
      </c>
      <c r="D28" s="75" t="s">
        <v>56</v>
      </c>
      <c r="E28" s="86" t="n">
        <v>2816806</v>
      </c>
      <c r="F28" s="86" t="n">
        <f aca="false">E28/12</f>
        <v>234733.833333333</v>
      </c>
      <c r="G28" s="80" t="n">
        <v>33734</v>
      </c>
      <c r="H28" s="80" t="n">
        <f aca="false">G28/12</f>
        <v>2811.16666666667</v>
      </c>
    </row>
    <row r="29" customFormat="false" ht="15.75" hidden="false" customHeight="true" outlineLevel="0" collapsed="false">
      <c r="A29" s="77" t="s">
        <v>221</v>
      </c>
      <c r="B29" s="77" t="s">
        <v>222</v>
      </c>
      <c r="C29" s="77" t="s">
        <v>43</v>
      </c>
      <c r="D29" s="77" t="s">
        <v>56</v>
      </c>
      <c r="E29" s="87" t="n">
        <v>2207959</v>
      </c>
      <c r="F29" s="87" t="n">
        <f aca="false">E29/12</f>
        <v>183996.583333333</v>
      </c>
      <c r="G29" s="82" t="n">
        <v>26443</v>
      </c>
      <c r="H29" s="82" t="n">
        <f aca="false">G29/12</f>
        <v>2203.58333333333</v>
      </c>
    </row>
    <row r="30" customFormat="false" ht="15.75" hidden="false" customHeight="true" outlineLevel="0" collapsed="false">
      <c r="A30" s="75" t="s">
        <v>93</v>
      </c>
      <c r="B30" s="75" t="s">
        <v>224</v>
      </c>
      <c r="C30" s="75" t="s">
        <v>44</v>
      </c>
      <c r="D30" s="75" t="s">
        <v>56</v>
      </c>
      <c r="E30" s="86" t="n">
        <v>812794</v>
      </c>
      <c r="F30" s="86" t="n">
        <f aca="false">E30/12</f>
        <v>67732.8333333333</v>
      </c>
      <c r="G30" s="80" t="n">
        <v>9734</v>
      </c>
      <c r="H30" s="80" t="n">
        <f aca="false">G30/12</f>
        <v>811.166666666667</v>
      </c>
    </row>
    <row r="31" customFormat="false" ht="15.75" hidden="false" customHeight="true" outlineLevel="0" collapsed="false">
      <c r="A31" s="77" t="s">
        <v>225</v>
      </c>
      <c r="B31" s="77" t="s">
        <v>226</v>
      </c>
      <c r="C31" s="77" t="s">
        <v>45</v>
      </c>
      <c r="D31" s="77" t="s">
        <v>56</v>
      </c>
      <c r="E31" s="87" t="n">
        <v>2281621</v>
      </c>
      <c r="F31" s="87" t="n">
        <f aca="false">E31/12</f>
        <v>190135.083333333</v>
      </c>
      <c r="G31" s="82" t="n">
        <v>27325</v>
      </c>
      <c r="H31" s="82" t="n">
        <f aca="false">G31/12</f>
        <v>2277.08333333333</v>
      </c>
    </row>
    <row r="32" customFormat="false" ht="15.75" hidden="false" customHeight="true" outlineLevel="0" collapsed="false">
      <c r="A32" s="75" t="s">
        <v>227</v>
      </c>
      <c r="B32" s="75" t="s">
        <v>228</v>
      </c>
      <c r="C32" s="75" t="s">
        <v>39</v>
      </c>
      <c r="D32" s="75" t="s">
        <v>56</v>
      </c>
      <c r="E32" s="86" t="n">
        <v>2708231</v>
      </c>
      <c r="F32" s="86" t="n">
        <f aca="false">E32/12</f>
        <v>225685.916666667</v>
      </c>
      <c r="G32" s="80" t="n">
        <v>32434</v>
      </c>
      <c r="H32" s="80" t="n">
        <f aca="false">G32/12</f>
        <v>2702.83333333333</v>
      </c>
    </row>
    <row r="33" customFormat="false" ht="15.75" hidden="false" customHeight="true" outlineLevel="0" collapsed="false">
      <c r="A33" s="77" t="s">
        <v>92</v>
      </c>
      <c r="B33" s="77" t="s">
        <v>229</v>
      </c>
      <c r="C33" s="77" t="s">
        <v>37</v>
      </c>
      <c r="D33" s="77" t="s">
        <v>56</v>
      </c>
      <c r="E33" s="87" t="n">
        <v>2104624</v>
      </c>
      <c r="F33" s="87" t="n">
        <f aca="false">E33/12</f>
        <v>175385.333333333</v>
      </c>
      <c r="G33" s="82" t="n">
        <v>25205</v>
      </c>
      <c r="H33" s="82" t="n">
        <f aca="false">G33/12</f>
        <v>2100.41666666667</v>
      </c>
    </row>
    <row r="34" customFormat="false" ht="15.75" hidden="false" customHeight="true" outlineLevel="0" collapsed="false">
      <c r="A34" s="75" t="s">
        <v>230</v>
      </c>
      <c r="B34" s="75" t="s">
        <v>231</v>
      </c>
      <c r="C34" s="75" t="s">
        <v>43</v>
      </c>
      <c r="D34" s="75" t="s">
        <v>56</v>
      </c>
      <c r="E34" s="86" t="n">
        <v>409040</v>
      </c>
      <c r="F34" s="86" t="n">
        <f aca="false">E34/12</f>
        <v>34086.6666666667</v>
      </c>
      <c r="G34" s="80" t="n">
        <v>4899</v>
      </c>
      <c r="H34" s="80" t="n">
        <f aca="false">G34/12</f>
        <v>408.25</v>
      </c>
    </row>
    <row r="35" customFormat="false" ht="15.75" hidden="false" customHeight="true" outlineLevel="0" collapsed="false">
      <c r="A35" s="77" t="s">
        <v>232</v>
      </c>
      <c r="B35" s="77" t="s">
        <v>233</v>
      </c>
      <c r="C35" s="77" t="s">
        <v>39</v>
      </c>
      <c r="D35" s="77" t="s">
        <v>56</v>
      </c>
      <c r="E35" s="87" t="n">
        <v>2441247</v>
      </c>
      <c r="F35" s="87" t="n">
        <f aca="false">E35/12</f>
        <v>203437.25</v>
      </c>
      <c r="G35" s="82" t="n">
        <v>29236</v>
      </c>
      <c r="H35" s="82" t="n">
        <f aca="false">G35/12</f>
        <v>2436.33333333333</v>
      </c>
    </row>
    <row r="36" customFormat="false" ht="15.75" hidden="false" customHeight="true" outlineLevel="0" collapsed="false">
      <c r="A36" s="75" t="s">
        <v>234</v>
      </c>
      <c r="B36" s="75" t="s">
        <v>235</v>
      </c>
      <c r="C36" s="75" t="s">
        <v>41</v>
      </c>
      <c r="D36" s="75" t="s">
        <v>56</v>
      </c>
      <c r="E36" s="86" t="n">
        <v>655674</v>
      </c>
      <c r="F36" s="86" t="n">
        <f aca="false">E36/12</f>
        <v>54639.5</v>
      </c>
      <c r="G36" s="80" t="n">
        <v>7852</v>
      </c>
      <c r="H36" s="80" t="n">
        <f aca="false">G36/12</f>
        <v>654.333333333333</v>
      </c>
    </row>
    <row r="37" customFormat="false" ht="15.75" hidden="false" customHeight="true" outlineLevel="0" collapsed="false">
      <c r="A37" s="77" t="s">
        <v>236</v>
      </c>
      <c r="B37" s="77" t="s">
        <v>237</v>
      </c>
      <c r="C37" s="77" t="s">
        <v>37</v>
      </c>
      <c r="D37" s="77" t="s">
        <v>56</v>
      </c>
      <c r="E37" s="87" t="n">
        <v>1060320</v>
      </c>
      <c r="F37" s="87" t="n">
        <f aca="false">E37/12</f>
        <v>88360</v>
      </c>
      <c r="G37" s="82" t="n">
        <v>12698</v>
      </c>
      <c r="H37" s="82" t="n">
        <f aca="false">G37/12</f>
        <v>1058.16666666667</v>
      </c>
    </row>
    <row r="38" customFormat="false" ht="15.75" hidden="false" customHeight="true" outlineLevel="0" collapsed="false">
      <c r="A38" s="75" t="s">
        <v>71</v>
      </c>
      <c r="B38" s="75" t="s">
        <v>239</v>
      </c>
      <c r="C38" s="75" t="s">
        <v>35</v>
      </c>
      <c r="D38" s="75" t="s">
        <v>56</v>
      </c>
      <c r="E38" s="86" t="n">
        <v>112923</v>
      </c>
      <c r="F38" s="86" t="n">
        <f aca="false">E38/12</f>
        <v>9410.25</v>
      </c>
      <c r="G38" s="80" t="n">
        <v>1352</v>
      </c>
      <c r="H38" s="80" t="n">
        <f aca="false">G38/12</f>
        <v>112.666666666667</v>
      </c>
    </row>
    <row r="39" customFormat="false" ht="15.75" hidden="false" customHeight="true" outlineLevel="0" collapsed="false">
      <c r="A39" s="77" t="s">
        <v>240</v>
      </c>
      <c r="B39" s="77" t="s">
        <v>206</v>
      </c>
      <c r="C39" s="77" t="s">
        <v>41</v>
      </c>
      <c r="D39" s="77" t="s">
        <v>56</v>
      </c>
      <c r="E39" s="87" t="n">
        <v>743863</v>
      </c>
      <c r="F39" s="87" t="n">
        <f aca="false">E39/12</f>
        <v>61988.5833333333</v>
      </c>
      <c r="G39" s="82" t="n">
        <v>8909</v>
      </c>
      <c r="H39" s="82" t="n">
        <f aca="false">G39/12</f>
        <v>742.416666666667</v>
      </c>
    </row>
    <row r="40" customFormat="false" ht="15.75" hidden="false" customHeight="true" outlineLevel="0" collapsed="false">
      <c r="A40" s="75" t="s">
        <v>242</v>
      </c>
      <c r="B40" s="75" t="s">
        <v>243</v>
      </c>
      <c r="C40" s="75" t="s">
        <v>33</v>
      </c>
      <c r="D40" s="75" t="s">
        <v>56</v>
      </c>
      <c r="E40" s="86" t="n">
        <v>1717782</v>
      </c>
      <c r="F40" s="86" t="n">
        <f aca="false">E40/12</f>
        <v>143148.5</v>
      </c>
      <c r="G40" s="80" t="n">
        <v>20572</v>
      </c>
      <c r="H40" s="80" t="n">
        <f aca="false">G40/12</f>
        <v>1714.33333333333</v>
      </c>
    </row>
    <row r="41" customFormat="false" ht="15.75" hidden="false" customHeight="true" outlineLevel="0" collapsed="false">
      <c r="A41" s="77" t="s">
        <v>84</v>
      </c>
      <c r="B41" s="77" t="s">
        <v>244</v>
      </c>
      <c r="C41" s="77" t="s">
        <v>35</v>
      </c>
      <c r="D41" s="77" t="s">
        <v>56</v>
      </c>
      <c r="E41" s="87" t="n">
        <v>1726143</v>
      </c>
      <c r="F41" s="87" t="n">
        <f aca="false">E41/12</f>
        <v>143845.25</v>
      </c>
      <c r="G41" s="82" t="n">
        <v>20672</v>
      </c>
      <c r="H41" s="82" t="n">
        <f aca="false">G41/12</f>
        <v>1722.66666666667</v>
      </c>
    </row>
    <row r="42" customFormat="false" ht="15.75" hidden="false" customHeight="true" outlineLevel="0" collapsed="false">
      <c r="A42" s="75" t="s">
        <v>89</v>
      </c>
      <c r="B42" s="75" t="s">
        <v>246</v>
      </c>
      <c r="C42" s="75" t="s">
        <v>33</v>
      </c>
      <c r="D42" s="75" t="s">
        <v>56</v>
      </c>
      <c r="E42" s="86" t="n">
        <v>2655002</v>
      </c>
      <c r="F42" s="86" t="n">
        <f aca="false">E42/12</f>
        <v>221250.166666667</v>
      </c>
      <c r="G42" s="80" t="n">
        <v>31796</v>
      </c>
      <c r="H42" s="80" t="n">
        <f aca="false">G42/12</f>
        <v>2649.66666666667</v>
      </c>
    </row>
    <row r="43" customFormat="false" ht="15.75" hidden="false" customHeight="true" outlineLevel="0" collapsed="false">
      <c r="A43" s="77" t="s">
        <v>248</v>
      </c>
      <c r="B43" s="77" t="s">
        <v>249</v>
      </c>
      <c r="C43" s="77" t="s">
        <v>35</v>
      </c>
      <c r="D43" s="77" t="s">
        <v>56</v>
      </c>
      <c r="E43" s="87" t="n">
        <v>1949908</v>
      </c>
      <c r="F43" s="87" t="n">
        <f aca="false">E43/12</f>
        <v>162492.333333333</v>
      </c>
      <c r="G43" s="82" t="n">
        <v>23352</v>
      </c>
      <c r="H43" s="82" t="n">
        <f aca="false">G43/12</f>
        <v>1946</v>
      </c>
    </row>
    <row r="44" customFormat="false" ht="15.75" hidden="false" customHeight="true" outlineLevel="0" collapsed="false">
      <c r="A44" s="75" t="s">
        <v>81</v>
      </c>
      <c r="B44" s="75" t="s">
        <v>250</v>
      </c>
      <c r="C44" s="75" t="s">
        <v>42</v>
      </c>
      <c r="D44" s="75" t="s">
        <v>56</v>
      </c>
      <c r="E44" s="86" t="n">
        <v>2618538</v>
      </c>
      <c r="F44" s="86" t="n">
        <f aca="false">E44/12</f>
        <v>218211.5</v>
      </c>
      <c r="G44" s="80" t="n">
        <v>31360</v>
      </c>
      <c r="H44" s="80" t="n">
        <f aca="false">G44/12</f>
        <v>2613.33333333333</v>
      </c>
    </row>
    <row r="45" customFormat="false" ht="15.75" hidden="false" customHeight="true" outlineLevel="0" collapsed="false">
      <c r="A45" s="77" t="s">
        <v>251</v>
      </c>
      <c r="B45" s="77" t="s">
        <v>252</v>
      </c>
      <c r="C45" s="77" t="s">
        <v>39</v>
      </c>
      <c r="D45" s="77" t="s">
        <v>56</v>
      </c>
      <c r="E45" s="87" t="n">
        <v>1509250</v>
      </c>
      <c r="F45" s="87" t="n">
        <f aca="false">E45/12</f>
        <v>125770.833333333</v>
      </c>
      <c r="G45" s="82" t="n">
        <v>18075</v>
      </c>
      <c r="H45" s="82" t="n">
        <f aca="false">G45/12</f>
        <v>1506.25</v>
      </c>
    </row>
    <row r="46" customFormat="false" ht="15.75" hidden="false" customHeight="true" outlineLevel="0" collapsed="false">
      <c r="A46" s="75" t="s">
        <v>253</v>
      </c>
      <c r="B46" s="75" t="s">
        <v>254</v>
      </c>
      <c r="C46" s="75" t="s">
        <v>42</v>
      </c>
      <c r="D46" s="75" t="s">
        <v>56</v>
      </c>
      <c r="E46" s="86" t="n">
        <v>1283444</v>
      </c>
      <c r="F46" s="86" t="n">
        <f aca="false">E46/12</f>
        <v>106953.666666667</v>
      </c>
      <c r="G46" s="80" t="n">
        <v>15371</v>
      </c>
      <c r="H46" s="80" t="n">
        <f aca="false">G46/12</f>
        <v>1280.91666666667</v>
      </c>
    </row>
    <row r="47" customFormat="false" ht="15.75" hidden="false" customHeight="true" outlineLevel="0" collapsed="false">
      <c r="A47" s="77" t="s">
        <v>57</v>
      </c>
      <c r="B47" s="77" t="s">
        <v>256</v>
      </c>
      <c r="C47" s="77" t="s">
        <v>39</v>
      </c>
      <c r="D47" s="77" t="s">
        <v>56</v>
      </c>
      <c r="E47" s="87" t="n">
        <v>787127</v>
      </c>
      <c r="F47" s="87" t="n">
        <f aca="false">E47/12</f>
        <v>65593.9166666667</v>
      </c>
      <c r="G47" s="82" t="n">
        <v>9427</v>
      </c>
      <c r="H47" s="82" t="n">
        <f aca="false">G47/12</f>
        <v>785.583333333333</v>
      </c>
    </row>
    <row r="48" customFormat="false" ht="15.75" hidden="false" customHeight="true" outlineLevel="0" collapsed="false">
      <c r="A48" s="75" t="s">
        <v>74</v>
      </c>
      <c r="B48" s="75" t="s">
        <v>258</v>
      </c>
      <c r="C48" s="75" t="s">
        <v>37</v>
      </c>
      <c r="D48" s="75" t="s">
        <v>56</v>
      </c>
      <c r="E48" s="86" t="n">
        <v>94335</v>
      </c>
      <c r="F48" s="86" t="n">
        <f aca="false">E48/12</f>
        <v>7861.25</v>
      </c>
      <c r="G48" s="80" t="n">
        <v>1130</v>
      </c>
      <c r="H48" s="80" t="n">
        <f aca="false">G48/12</f>
        <v>94.1666666666667</v>
      </c>
    </row>
    <row r="49" customFormat="false" ht="15.75" hidden="false" customHeight="true" outlineLevel="0" collapsed="false">
      <c r="A49" s="77" t="s">
        <v>58</v>
      </c>
      <c r="B49" s="77" t="s">
        <v>259</v>
      </c>
      <c r="C49" s="77" t="s">
        <v>42</v>
      </c>
      <c r="D49" s="77" t="s">
        <v>56</v>
      </c>
      <c r="E49" s="87" t="n">
        <v>869233</v>
      </c>
      <c r="F49" s="87" t="n">
        <f aca="false">E49/12</f>
        <v>72436.0833333333</v>
      </c>
      <c r="G49" s="82" t="n">
        <v>10410</v>
      </c>
      <c r="H49" s="82" t="n">
        <f aca="false">G49/12</f>
        <v>867.5</v>
      </c>
    </row>
    <row r="50" customFormat="false" ht="15.75" hidden="false" customHeight="true" outlineLevel="0" collapsed="false">
      <c r="A50" s="75" t="s">
        <v>73</v>
      </c>
      <c r="B50" s="75" t="s">
        <v>260</v>
      </c>
      <c r="C50" s="75" t="s">
        <v>42</v>
      </c>
      <c r="D50" s="75" t="s">
        <v>56</v>
      </c>
      <c r="E50" s="86" t="n">
        <v>132420</v>
      </c>
      <c r="F50" s="86" t="n">
        <f aca="false">E50/12</f>
        <v>11035</v>
      </c>
      <c r="G50" s="80" t="n">
        <v>1586</v>
      </c>
      <c r="H50" s="80" t="n">
        <f aca="false">G50/12</f>
        <v>132.166666666667</v>
      </c>
    </row>
    <row r="51" customFormat="false" ht="15.75" hidden="false" customHeight="true" outlineLevel="0" collapsed="false">
      <c r="A51" s="77" t="s">
        <v>261</v>
      </c>
      <c r="B51" s="77" t="s">
        <v>262</v>
      </c>
      <c r="C51" s="77" t="s">
        <v>37</v>
      </c>
      <c r="D51" s="77" t="s">
        <v>56</v>
      </c>
      <c r="E51" s="87" t="n">
        <v>1281124</v>
      </c>
      <c r="F51" s="87" t="n">
        <f aca="false">E51/12</f>
        <v>106760.333333333</v>
      </c>
      <c r="G51" s="82" t="n">
        <v>15343</v>
      </c>
      <c r="H51" s="82" t="n">
        <f aca="false">G51/12</f>
        <v>1278.58333333333</v>
      </c>
    </row>
    <row r="52" customFormat="false" ht="15.75" hidden="false" customHeight="true" outlineLevel="0" collapsed="false">
      <c r="A52" s="75" t="s">
        <v>263</v>
      </c>
      <c r="B52" s="75" t="s">
        <v>264</v>
      </c>
      <c r="C52" s="75" t="s">
        <v>46</v>
      </c>
      <c r="D52" s="75" t="s">
        <v>56</v>
      </c>
      <c r="E52" s="86" t="n">
        <v>1048243</v>
      </c>
      <c r="F52" s="86" t="n">
        <f aca="false">E52/12</f>
        <v>87353.5833333333</v>
      </c>
      <c r="G52" s="80" t="n">
        <v>12554</v>
      </c>
      <c r="H52" s="80" t="n">
        <f aca="false">G52/12</f>
        <v>1046.16666666667</v>
      </c>
    </row>
    <row r="53" customFormat="false" ht="15.75" hidden="false" customHeight="true" outlineLevel="0" collapsed="false">
      <c r="A53" s="77" t="s">
        <v>266</v>
      </c>
      <c r="B53" s="77" t="s">
        <v>267</v>
      </c>
      <c r="C53" s="77" t="s">
        <v>35</v>
      </c>
      <c r="D53" s="77" t="s">
        <v>56</v>
      </c>
      <c r="E53" s="87" t="n">
        <v>1793286</v>
      </c>
      <c r="F53" s="87" t="n">
        <f aca="false">E53/12</f>
        <v>149440.5</v>
      </c>
      <c r="G53" s="82" t="n">
        <v>21476</v>
      </c>
      <c r="H53" s="82" t="n">
        <f aca="false">G53/12</f>
        <v>1789.66666666667</v>
      </c>
    </row>
    <row r="54" customFormat="false" ht="15.75" hidden="false" customHeight="true" outlineLevel="0" collapsed="false">
      <c r="A54" s="75" t="s">
        <v>268</v>
      </c>
      <c r="B54" s="75" t="s">
        <v>269</v>
      </c>
      <c r="C54" s="75" t="s">
        <v>39</v>
      </c>
      <c r="D54" s="75" t="s">
        <v>56</v>
      </c>
      <c r="E54" s="86" t="n">
        <v>2004496</v>
      </c>
      <c r="F54" s="86" t="n">
        <f aca="false">E54/12</f>
        <v>167041.333333333</v>
      </c>
      <c r="G54" s="80" t="n">
        <v>24006</v>
      </c>
      <c r="H54" s="80" t="n">
        <f aca="false">G54/12</f>
        <v>2000.5</v>
      </c>
    </row>
    <row r="55" customFormat="false" ht="15.75" hidden="false" customHeight="true" outlineLevel="0" collapsed="false">
      <c r="A55" s="77" t="s">
        <v>270</v>
      </c>
      <c r="B55" s="77" t="s">
        <v>271</v>
      </c>
      <c r="C55" s="77" t="s">
        <v>41</v>
      </c>
      <c r="D55" s="77" t="s">
        <v>56</v>
      </c>
      <c r="E55" s="87" t="n">
        <v>1680063</v>
      </c>
      <c r="F55" s="87" t="n">
        <f aca="false">E55/12</f>
        <v>140005.25</v>
      </c>
      <c r="G55" s="82" t="n">
        <v>20121</v>
      </c>
      <c r="H55" s="82" t="n">
        <f aca="false">G55/12</f>
        <v>1676.75</v>
      </c>
    </row>
    <row r="56" customFormat="false" ht="15.75" hidden="false" customHeight="true" outlineLevel="0" collapsed="false">
      <c r="A56" s="75" t="s">
        <v>59</v>
      </c>
      <c r="B56" s="75" t="s">
        <v>272</v>
      </c>
      <c r="C56" s="75" t="s">
        <v>41</v>
      </c>
      <c r="D56" s="75" t="s">
        <v>56</v>
      </c>
      <c r="E56" s="86" t="n">
        <v>1570735</v>
      </c>
      <c r="F56" s="86" t="n">
        <f aca="false">E56/12</f>
        <v>130894.583333333</v>
      </c>
      <c r="G56" s="80" t="n">
        <v>18811</v>
      </c>
      <c r="H56" s="80" t="n">
        <f aca="false">G56/12</f>
        <v>1567.58333333333</v>
      </c>
    </row>
    <row r="57" customFormat="false" ht="15.75" hidden="false" customHeight="true" outlineLevel="0" collapsed="false">
      <c r="A57" s="77" t="s">
        <v>273</v>
      </c>
      <c r="B57" s="77" t="s">
        <v>274</v>
      </c>
      <c r="C57" s="77" t="s">
        <v>43</v>
      </c>
      <c r="D57" s="77" t="s">
        <v>56</v>
      </c>
      <c r="E57" s="87" t="n">
        <v>515765</v>
      </c>
      <c r="F57" s="87" t="n">
        <f aca="false">E57/12</f>
        <v>42980.4166666667</v>
      </c>
      <c r="G57" s="82" t="n">
        <v>6177</v>
      </c>
      <c r="H57" s="82" t="n">
        <f aca="false">G57/12</f>
        <v>514.75</v>
      </c>
    </row>
    <row r="58" customFormat="false" ht="15.75" hidden="false" customHeight="true" outlineLevel="0" collapsed="false">
      <c r="A58" s="75" t="s">
        <v>60</v>
      </c>
      <c r="B58" s="75" t="s">
        <v>275</v>
      </c>
      <c r="C58" s="75" t="s">
        <v>35</v>
      </c>
      <c r="D58" s="75" t="s">
        <v>56</v>
      </c>
      <c r="E58" s="86" t="n">
        <v>854673</v>
      </c>
      <c r="F58" s="86" t="n">
        <f aca="false">E58/12</f>
        <v>71222.75</v>
      </c>
      <c r="G58" s="80" t="n">
        <v>10236</v>
      </c>
      <c r="H58" s="80" t="n">
        <f aca="false">G58/12</f>
        <v>853</v>
      </c>
    </row>
    <row r="59" customFormat="false" ht="15.75" hidden="false" customHeight="true" outlineLevel="0" collapsed="false">
      <c r="A59" s="77" t="s">
        <v>276</v>
      </c>
      <c r="B59" s="77" t="s">
        <v>277</v>
      </c>
      <c r="C59" s="77" t="s">
        <v>46</v>
      </c>
      <c r="D59" s="77" t="s">
        <v>56</v>
      </c>
      <c r="E59" s="87" t="n">
        <v>2015626</v>
      </c>
      <c r="F59" s="87" t="n">
        <f aca="false">E59/12</f>
        <v>167968.833333333</v>
      </c>
      <c r="G59" s="82" t="n">
        <v>24139</v>
      </c>
      <c r="H59" s="82" t="n">
        <f aca="false">G59/12</f>
        <v>2011.58333333333</v>
      </c>
    </row>
    <row r="60" customFormat="false" ht="15.75" hidden="false" customHeight="true" outlineLevel="0" collapsed="false">
      <c r="A60" s="75" t="s">
        <v>278</v>
      </c>
      <c r="B60" s="75" t="s">
        <v>279</v>
      </c>
      <c r="C60" s="75" t="s">
        <v>37</v>
      </c>
      <c r="D60" s="75" t="s">
        <v>56</v>
      </c>
      <c r="E60" s="86" t="n">
        <v>2658431</v>
      </c>
      <c r="F60" s="86" t="n">
        <f aca="false">E60/12</f>
        <v>221535.916666667</v>
      </c>
      <c r="G60" s="80" t="n">
        <v>31837</v>
      </c>
      <c r="H60" s="80" t="n">
        <f aca="false">G60/12</f>
        <v>2653.08333333333</v>
      </c>
    </row>
    <row r="61" customFormat="false" ht="15.75" hidden="false" customHeight="true" outlineLevel="0" collapsed="false">
      <c r="A61" s="77" t="s">
        <v>280</v>
      </c>
      <c r="B61" s="77" t="s">
        <v>281</v>
      </c>
      <c r="C61" s="77" t="s">
        <v>46</v>
      </c>
      <c r="D61" s="77" t="s">
        <v>56</v>
      </c>
      <c r="E61" s="87" t="n">
        <v>1716657</v>
      </c>
      <c r="F61" s="87" t="n">
        <f aca="false">E61/12</f>
        <v>143054.75</v>
      </c>
      <c r="G61" s="82" t="n">
        <v>20559</v>
      </c>
      <c r="H61" s="82" t="n">
        <f aca="false">G61/12</f>
        <v>1713.25</v>
      </c>
    </row>
    <row r="62" customFormat="false" ht="15.75" hidden="false" customHeight="true" outlineLevel="0" collapsed="false">
      <c r="A62" s="75" t="s">
        <v>282</v>
      </c>
      <c r="B62" s="75" t="s">
        <v>283</v>
      </c>
      <c r="C62" s="75" t="s">
        <v>39</v>
      </c>
      <c r="D62" s="75" t="s">
        <v>56</v>
      </c>
      <c r="E62" s="86" t="n">
        <v>1768110</v>
      </c>
      <c r="F62" s="86" t="n">
        <f aca="false">E62/12</f>
        <v>147342.5</v>
      </c>
      <c r="G62" s="80" t="n">
        <v>21175</v>
      </c>
      <c r="H62" s="80" t="n">
        <f aca="false">G62/12</f>
        <v>1764.58333333333</v>
      </c>
    </row>
    <row r="63" customFormat="false" ht="15.75" hidden="false" customHeight="true" outlineLevel="0" collapsed="false">
      <c r="A63" s="77" t="s">
        <v>284</v>
      </c>
      <c r="B63" s="77" t="s">
        <v>285</v>
      </c>
      <c r="C63" s="77" t="s">
        <v>42</v>
      </c>
      <c r="D63" s="77" t="s">
        <v>56</v>
      </c>
      <c r="E63" s="87" t="n">
        <v>1990250</v>
      </c>
      <c r="F63" s="87" t="n">
        <f aca="false">E63/12</f>
        <v>165854.166666667</v>
      </c>
      <c r="G63" s="82" t="n">
        <v>23835</v>
      </c>
      <c r="H63" s="82" t="n">
        <f aca="false">G63/12</f>
        <v>1986.25</v>
      </c>
    </row>
    <row r="64" customFormat="false" ht="15.75" hidden="false" customHeight="true" outlineLevel="0" collapsed="false">
      <c r="A64" s="75" t="s">
        <v>286</v>
      </c>
      <c r="B64" s="75" t="s">
        <v>287</v>
      </c>
      <c r="C64" s="75" t="s">
        <v>33</v>
      </c>
      <c r="D64" s="75" t="s">
        <v>56</v>
      </c>
      <c r="E64" s="86" t="n">
        <v>401702</v>
      </c>
      <c r="F64" s="86" t="n">
        <f aca="false">E64/12</f>
        <v>33475.1666666667</v>
      </c>
      <c r="G64" s="80" t="n">
        <v>4811</v>
      </c>
      <c r="H64" s="80" t="n">
        <f aca="false">G64/12</f>
        <v>400.916666666667</v>
      </c>
    </row>
    <row r="65" customFormat="false" ht="15.75" hidden="false" customHeight="true" outlineLevel="0" collapsed="false">
      <c r="A65" s="77" t="s">
        <v>288</v>
      </c>
      <c r="B65" s="77" t="s">
        <v>289</v>
      </c>
      <c r="C65" s="77" t="s">
        <v>43</v>
      </c>
      <c r="D65" s="77" t="s">
        <v>56</v>
      </c>
      <c r="E65" s="87" t="n">
        <v>1751611</v>
      </c>
      <c r="F65" s="87" t="n">
        <f aca="false">E65/12</f>
        <v>145967.583333333</v>
      </c>
      <c r="G65" s="82" t="n">
        <v>20977</v>
      </c>
      <c r="H65" s="82" t="n">
        <f aca="false">G65/12</f>
        <v>1748.08333333333</v>
      </c>
    </row>
    <row r="66" customFormat="false" ht="15.75" hidden="false" customHeight="true" outlineLevel="0" collapsed="false">
      <c r="A66" s="75" t="s">
        <v>290</v>
      </c>
      <c r="B66" s="75" t="s">
        <v>291</v>
      </c>
      <c r="C66" s="75" t="s">
        <v>41</v>
      </c>
      <c r="D66" s="75" t="s">
        <v>56</v>
      </c>
      <c r="E66" s="86" t="n">
        <v>755658</v>
      </c>
      <c r="F66" s="86" t="n">
        <f aca="false">E66/12</f>
        <v>62971.5</v>
      </c>
      <c r="G66" s="80" t="n">
        <v>9050</v>
      </c>
      <c r="H66" s="80" t="n">
        <f aca="false">G66/12</f>
        <v>754.166666666667</v>
      </c>
    </row>
    <row r="67" customFormat="false" ht="15.75" hidden="false" customHeight="true" outlineLevel="0" collapsed="false">
      <c r="A67" s="77" t="s">
        <v>72</v>
      </c>
      <c r="B67" s="77" t="s">
        <v>292</v>
      </c>
      <c r="C67" s="77" t="s">
        <v>46</v>
      </c>
      <c r="D67" s="77" t="s">
        <v>56</v>
      </c>
      <c r="E67" s="87" t="n">
        <v>89444</v>
      </c>
      <c r="F67" s="87" t="n">
        <f aca="false">E67/12</f>
        <v>7453.66666666667</v>
      </c>
      <c r="G67" s="82" t="n">
        <v>1071</v>
      </c>
      <c r="H67" s="82" t="n">
        <f aca="false">G67/12</f>
        <v>89.25</v>
      </c>
    </row>
    <row r="68" customFormat="false" ht="15.75" hidden="false" customHeight="true" outlineLevel="0" collapsed="false">
      <c r="A68" s="75" t="s">
        <v>293</v>
      </c>
      <c r="B68" s="75" t="s">
        <v>294</v>
      </c>
      <c r="C68" s="75" t="s">
        <v>37</v>
      </c>
      <c r="D68" s="75" t="s">
        <v>56</v>
      </c>
      <c r="E68" s="86" t="n">
        <v>705463</v>
      </c>
      <c r="F68" s="86" t="n">
        <f aca="false">E68/12</f>
        <v>58788.5833333333</v>
      </c>
      <c r="G68" s="80" t="n">
        <v>8449</v>
      </c>
      <c r="H68" s="80" t="n">
        <f aca="false">G68/12</f>
        <v>704.083333333333</v>
      </c>
    </row>
    <row r="69" customFormat="false" ht="15.75" hidden="false" customHeight="true" outlineLevel="0" collapsed="false">
      <c r="A69" s="77" t="s">
        <v>295</v>
      </c>
      <c r="B69" s="77" t="s">
        <v>296</v>
      </c>
      <c r="C69" s="77" t="s">
        <v>41</v>
      </c>
      <c r="D69" s="77" t="s">
        <v>56</v>
      </c>
      <c r="E69" s="87" t="n">
        <v>2076265</v>
      </c>
      <c r="F69" s="87" t="n">
        <f aca="false">E69/12</f>
        <v>173022.083333333</v>
      </c>
      <c r="G69" s="82" t="n">
        <v>24865</v>
      </c>
      <c r="H69" s="82" t="n">
        <f aca="false">G69/12</f>
        <v>2072.08333333333</v>
      </c>
    </row>
    <row r="70" customFormat="false" ht="15.75" hidden="false" customHeight="true" outlineLevel="0" collapsed="false">
      <c r="A70" s="75" t="s">
        <v>297</v>
      </c>
      <c r="B70" s="75" t="s">
        <v>298</v>
      </c>
      <c r="C70" s="75" t="s">
        <v>45</v>
      </c>
      <c r="D70" s="75" t="s">
        <v>56</v>
      </c>
      <c r="E70" s="86" t="n">
        <v>2572472</v>
      </c>
      <c r="F70" s="86" t="n">
        <f aca="false">E70/12</f>
        <v>214372.666666667</v>
      </c>
      <c r="G70" s="80" t="n">
        <v>30808</v>
      </c>
      <c r="H70" s="80" t="n">
        <f aca="false">G70/12</f>
        <v>2567.33333333333</v>
      </c>
    </row>
    <row r="71" customFormat="false" ht="15.75" hidden="false" customHeight="true" outlineLevel="0" collapsed="false">
      <c r="A71" s="77" t="s">
        <v>299</v>
      </c>
      <c r="B71" s="77" t="s">
        <v>300</v>
      </c>
      <c r="C71" s="77" t="s">
        <v>41</v>
      </c>
      <c r="D71" s="77" t="s">
        <v>56</v>
      </c>
      <c r="E71" s="87" t="n">
        <v>959264</v>
      </c>
      <c r="F71" s="87" t="n">
        <f aca="false">E71/12</f>
        <v>79938.6666666667</v>
      </c>
      <c r="G71" s="82" t="n">
        <v>11488</v>
      </c>
      <c r="H71" s="82" t="n">
        <f aca="false">G71/12</f>
        <v>957.333333333333</v>
      </c>
    </row>
    <row r="72" customFormat="false" ht="15.75" hidden="false" customHeight="true" outlineLevel="0" collapsed="false">
      <c r="A72" s="75" t="s">
        <v>303</v>
      </c>
      <c r="B72" s="75" t="s">
        <v>304</v>
      </c>
      <c r="C72" s="75" t="s">
        <v>42</v>
      </c>
      <c r="D72" s="75" t="s">
        <v>62</v>
      </c>
      <c r="E72" s="86" t="n">
        <v>2517193</v>
      </c>
      <c r="F72" s="86" t="n">
        <f aca="false">E72/12</f>
        <v>209766.083333333</v>
      </c>
      <c r="G72" s="80" t="n">
        <v>30146</v>
      </c>
      <c r="H72" s="80" t="n">
        <f aca="false">G72/12</f>
        <v>2512.16666666667</v>
      </c>
    </row>
    <row r="73" customFormat="false" ht="15.75" hidden="false" customHeight="true" outlineLevel="0" collapsed="false">
      <c r="A73" s="77" t="s">
        <v>305</v>
      </c>
      <c r="B73" s="77" t="s">
        <v>306</v>
      </c>
      <c r="C73" s="77" t="s">
        <v>44</v>
      </c>
      <c r="D73" s="77" t="s">
        <v>62</v>
      </c>
      <c r="E73" s="87" t="n">
        <v>2287729</v>
      </c>
      <c r="F73" s="87" t="n">
        <f aca="false">E73/12</f>
        <v>190644.083333333</v>
      </c>
      <c r="G73" s="82" t="n">
        <v>27398</v>
      </c>
      <c r="H73" s="82" t="n">
        <f aca="false">G73/12</f>
        <v>2283.16666666667</v>
      </c>
    </row>
    <row r="74" customFormat="false" ht="15.75" hidden="false" customHeight="true" outlineLevel="0" collapsed="false">
      <c r="A74" s="75" t="s">
        <v>88</v>
      </c>
      <c r="B74" s="75" t="s">
        <v>308</v>
      </c>
      <c r="C74" s="75" t="s">
        <v>39</v>
      </c>
      <c r="D74" s="75" t="s">
        <v>62</v>
      </c>
      <c r="E74" s="86" t="n">
        <v>1403469</v>
      </c>
      <c r="F74" s="86" t="n">
        <f aca="false">E74/12</f>
        <v>116955.75</v>
      </c>
      <c r="G74" s="80" t="n">
        <v>16808</v>
      </c>
      <c r="H74" s="80" t="n">
        <f aca="false">G74/12</f>
        <v>1400.66666666667</v>
      </c>
    </row>
    <row r="75" customFormat="false" ht="15.75" hidden="false" customHeight="true" outlineLevel="0" collapsed="false">
      <c r="A75" s="77" t="s">
        <v>309</v>
      </c>
      <c r="B75" s="77" t="s">
        <v>310</v>
      </c>
      <c r="C75" s="77" t="s">
        <v>39</v>
      </c>
      <c r="D75" s="77" t="s">
        <v>62</v>
      </c>
      <c r="E75" s="87" t="n">
        <v>2665562</v>
      </c>
      <c r="F75" s="87" t="n">
        <f aca="false">E75/12</f>
        <v>222130.166666667</v>
      </c>
      <c r="G75" s="82" t="n">
        <v>31923</v>
      </c>
      <c r="H75" s="82" t="n">
        <f aca="false">G75/12</f>
        <v>2660.25</v>
      </c>
    </row>
    <row r="76" customFormat="false" ht="15.75" hidden="false" customHeight="true" outlineLevel="0" collapsed="false">
      <c r="A76" s="75" t="s">
        <v>86</v>
      </c>
      <c r="B76" s="75" t="s">
        <v>311</v>
      </c>
      <c r="C76" s="75" t="s">
        <v>41</v>
      </c>
      <c r="D76" s="75" t="s">
        <v>62</v>
      </c>
      <c r="E76" s="86" t="n">
        <v>669395</v>
      </c>
      <c r="F76" s="86" t="n">
        <f aca="false">E76/12</f>
        <v>55782.9166666667</v>
      </c>
      <c r="G76" s="80" t="n">
        <v>8017</v>
      </c>
      <c r="H76" s="80" t="n">
        <f aca="false">G76/12</f>
        <v>668.083333333333</v>
      </c>
    </row>
    <row r="77" customFormat="false" ht="15.75" hidden="false" customHeight="true" outlineLevel="0" collapsed="false">
      <c r="A77" s="77" t="s">
        <v>312</v>
      </c>
      <c r="B77" s="77" t="s">
        <v>313</v>
      </c>
      <c r="C77" s="77" t="s">
        <v>42</v>
      </c>
      <c r="D77" s="77" t="s">
        <v>62</v>
      </c>
      <c r="E77" s="87" t="n">
        <v>2162209</v>
      </c>
      <c r="F77" s="87" t="n">
        <f aca="false">E77/12</f>
        <v>180184.083333333</v>
      </c>
      <c r="G77" s="82" t="n">
        <v>25895</v>
      </c>
      <c r="H77" s="82" t="n">
        <f aca="false">G77/12</f>
        <v>2157.91666666667</v>
      </c>
    </row>
    <row r="78" customFormat="false" ht="15.75" hidden="false" customHeight="true" outlineLevel="0" collapsed="false">
      <c r="A78" s="75" t="s">
        <v>315</v>
      </c>
      <c r="B78" s="75" t="s">
        <v>316</v>
      </c>
      <c r="C78" s="75" t="s">
        <v>37</v>
      </c>
      <c r="D78" s="75" t="s">
        <v>62</v>
      </c>
      <c r="E78" s="86" t="n">
        <v>2400598</v>
      </c>
      <c r="F78" s="86" t="n">
        <f aca="false">E78/12</f>
        <v>200049.833333333</v>
      </c>
      <c r="G78" s="80" t="n">
        <v>28750</v>
      </c>
      <c r="H78" s="80" t="n">
        <f aca="false">G78/12</f>
        <v>2395.83333333333</v>
      </c>
    </row>
    <row r="79" customFormat="false" ht="15.75" hidden="false" customHeight="true" outlineLevel="0" collapsed="false">
      <c r="A79" s="77" t="s">
        <v>317</v>
      </c>
      <c r="B79" s="77" t="s">
        <v>318</v>
      </c>
      <c r="C79" s="77" t="s">
        <v>43</v>
      </c>
      <c r="D79" s="77" t="s">
        <v>62</v>
      </c>
      <c r="E79" s="87" t="n">
        <v>2690644</v>
      </c>
      <c r="F79" s="87" t="n">
        <f aca="false">E79/12</f>
        <v>224220.333333333</v>
      </c>
      <c r="G79" s="82" t="n">
        <v>32223</v>
      </c>
      <c r="H79" s="82" t="n">
        <f aca="false">G79/12</f>
        <v>2685.25</v>
      </c>
    </row>
    <row r="80" customFormat="false" ht="15.75" hidden="false" customHeight="true" outlineLevel="0" collapsed="false">
      <c r="A80" s="75" t="s">
        <v>82</v>
      </c>
      <c r="B80" s="75" t="s">
        <v>319</v>
      </c>
      <c r="C80" s="75" t="s">
        <v>44</v>
      </c>
      <c r="D80" s="75" t="s">
        <v>62</v>
      </c>
      <c r="E80" s="86" t="n">
        <v>521738</v>
      </c>
      <c r="F80" s="86" t="n">
        <f aca="false">E80/12</f>
        <v>43478.1666666667</v>
      </c>
      <c r="G80" s="80" t="n">
        <v>6248</v>
      </c>
      <c r="H80" s="80" t="n">
        <f aca="false">G80/12</f>
        <v>520.666666666667</v>
      </c>
    </row>
    <row r="81" customFormat="false" ht="15.75" hidden="false" customHeight="true" outlineLevel="0" collapsed="false">
      <c r="A81" s="77" t="s">
        <v>320</v>
      </c>
      <c r="B81" s="77" t="s">
        <v>321</v>
      </c>
      <c r="C81" s="77" t="s">
        <v>35</v>
      </c>
      <c r="D81" s="77" t="s">
        <v>62</v>
      </c>
      <c r="E81" s="87" t="n">
        <v>2640276</v>
      </c>
      <c r="F81" s="87" t="n">
        <f aca="false">E81/12</f>
        <v>220023</v>
      </c>
      <c r="G81" s="82" t="n">
        <v>31620</v>
      </c>
      <c r="H81" s="82" t="n">
        <f aca="false">G81/12</f>
        <v>2635</v>
      </c>
    </row>
    <row r="82" customFormat="false" ht="15.75" hidden="false" customHeight="true" outlineLevel="0" collapsed="false">
      <c r="A82" s="75" t="s">
        <v>322</v>
      </c>
      <c r="B82" s="75" t="s">
        <v>323</v>
      </c>
      <c r="C82" s="75" t="s">
        <v>33</v>
      </c>
      <c r="D82" s="75" t="s">
        <v>62</v>
      </c>
      <c r="E82" s="86" t="n">
        <v>2197732</v>
      </c>
      <c r="F82" s="86" t="n">
        <f aca="false">E82/12</f>
        <v>183144.333333333</v>
      </c>
      <c r="G82" s="80" t="n">
        <v>26320</v>
      </c>
      <c r="H82" s="80" t="n">
        <f aca="false">G82/12</f>
        <v>2193.33333333333</v>
      </c>
    </row>
    <row r="83" customFormat="false" ht="15.75" hidden="false" customHeight="true" outlineLevel="0" collapsed="false">
      <c r="A83" s="77" t="s">
        <v>75</v>
      </c>
      <c r="B83" s="77" t="s">
        <v>324</v>
      </c>
      <c r="C83" s="77" t="s">
        <v>35</v>
      </c>
      <c r="D83" s="77" t="s">
        <v>62</v>
      </c>
      <c r="E83" s="87" t="n">
        <v>87742</v>
      </c>
      <c r="F83" s="87" t="n">
        <f aca="false">E83/12</f>
        <v>7311.83333333333</v>
      </c>
      <c r="G83" s="82" t="n">
        <v>1051</v>
      </c>
      <c r="H83" s="82" t="n">
        <f aca="false">G83/12</f>
        <v>87.5833333333333</v>
      </c>
    </row>
    <row r="84" customFormat="false" ht="15.75" hidden="false" customHeight="true" outlineLevel="0" collapsed="false">
      <c r="A84" s="75" t="s">
        <v>325</v>
      </c>
      <c r="B84" s="75" t="s">
        <v>326</v>
      </c>
      <c r="C84" s="75" t="s">
        <v>43</v>
      </c>
      <c r="D84" s="75" t="s">
        <v>62</v>
      </c>
      <c r="E84" s="86" t="n">
        <v>743539</v>
      </c>
      <c r="F84" s="86" t="n">
        <f aca="false">E84/12</f>
        <v>61961.5833333333</v>
      </c>
      <c r="G84" s="80" t="n">
        <v>8905</v>
      </c>
      <c r="H84" s="80" t="n">
        <f aca="false">G84/12</f>
        <v>742.083333333333</v>
      </c>
    </row>
    <row r="85" customFormat="false" ht="15.75" hidden="false" customHeight="true" outlineLevel="0" collapsed="false">
      <c r="A85" s="77" t="s">
        <v>327</v>
      </c>
      <c r="B85" s="77" t="s">
        <v>328</v>
      </c>
      <c r="C85" s="77" t="s">
        <v>37</v>
      </c>
      <c r="D85" s="77" t="s">
        <v>62</v>
      </c>
      <c r="E85" s="87" t="n">
        <v>687806</v>
      </c>
      <c r="F85" s="87" t="n">
        <f aca="false">E85/12</f>
        <v>57317.1666666667</v>
      </c>
      <c r="G85" s="82" t="n">
        <v>8237</v>
      </c>
      <c r="H85" s="82" t="n">
        <f aca="false">G85/12</f>
        <v>686.416666666667</v>
      </c>
    </row>
    <row r="86" customFormat="false" ht="15.75" hidden="false" customHeight="true" outlineLevel="0" collapsed="false">
      <c r="A86" s="75" t="s">
        <v>83</v>
      </c>
      <c r="B86" s="75" t="s">
        <v>329</v>
      </c>
      <c r="C86" s="75" t="s">
        <v>41</v>
      </c>
      <c r="D86" s="75" t="s">
        <v>62</v>
      </c>
      <c r="E86" s="86" t="n">
        <v>1039137</v>
      </c>
      <c r="F86" s="86" t="n">
        <f aca="false">E86/12</f>
        <v>86594.75</v>
      </c>
      <c r="G86" s="80" t="n">
        <v>12445</v>
      </c>
      <c r="H86" s="80" t="n">
        <f aca="false">G86/12</f>
        <v>1037.08333333333</v>
      </c>
    </row>
    <row r="87" customFormat="false" ht="15.75" hidden="false" customHeight="true" outlineLevel="0" collapsed="false">
      <c r="A87" s="77" t="s">
        <v>330</v>
      </c>
      <c r="B87" s="77" t="s">
        <v>331</v>
      </c>
      <c r="C87" s="77" t="s">
        <v>45</v>
      </c>
      <c r="D87" s="77" t="s">
        <v>62</v>
      </c>
      <c r="E87" s="87" t="n">
        <v>1474763</v>
      </c>
      <c r="F87" s="87" t="n">
        <f aca="false">E87/12</f>
        <v>122896.916666667</v>
      </c>
      <c r="G87" s="82" t="n">
        <v>17662</v>
      </c>
      <c r="H87" s="82" t="n">
        <f aca="false">G87/12</f>
        <v>1471.83333333333</v>
      </c>
    </row>
    <row r="88" customFormat="false" ht="15.75" hidden="false" customHeight="true" outlineLevel="0" collapsed="false">
      <c r="A88" s="75" t="s">
        <v>332</v>
      </c>
      <c r="B88" s="75" t="s">
        <v>333</v>
      </c>
      <c r="C88" s="75" t="s">
        <v>33</v>
      </c>
      <c r="D88" s="75" t="s">
        <v>62</v>
      </c>
      <c r="E88" s="86" t="n">
        <v>1086883</v>
      </c>
      <c r="F88" s="86" t="n">
        <f aca="false">E88/12</f>
        <v>90573.5833333333</v>
      </c>
      <c r="G88" s="80" t="n">
        <v>13017</v>
      </c>
      <c r="H88" s="80" t="n">
        <f aca="false">G88/12</f>
        <v>1084.75</v>
      </c>
    </row>
    <row r="89" customFormat="false" ht="15.75" hidden="false" customHeight="true" outlineLevel="0" collapsed="false">
      <c r="A89" s="77" t="s">
        <v>335</v>
      </c>
      <c r="B89" s="77" t="s">
        <v>336</v>
      </c>
      <c r="C89" s="77" t="s">
        <v>37</v>
      </c>
      <c r="D89" s="77" t="s">
        <v>62</v>
      </c>
      <c r="E89" s="87" t="n">
        <v>1974151</v>
      </c>
      <c r="F89" s="87" t="n">
        <f aca="false">E89/12</f>
        <v>164512.583333333</v>
      </c>
      <c r="G89" s="82" t="n">
        <v>23643</v>
      </c>
      <c r="H89" s="82" t="n">
        <f aca="false">G89/12</f>
        <v>1970.25</v>
      </c>
    </row>
    <row r="90" customFormat="false" ht="15.75" hidden="false" customHeight="true" outlineLevel="0" collapsed="false">
      <c r="A90" s="75" t="s">
        <v>85</v>
      </c>
      <c r="B90" s="75" t="s">
        <v>337</v>
      </c>
      <c r="C90" s="75" t="s">
        <v>45</v>
      </c>
      <c r="D90" s="75" t="s">
        <v>62</v>
      </c>
      <c r="E90" s="86" t="n">
        <v>827405</v>
      </c>
      <c r="F90" s="86" t="n">
        <f aca="false">E90/12</f>
        <v>68950.4166666667</v>
      </c>
      <c r="G90" s="80" t="n">
        <v>9909</v>
      </c>
      <c r="H90" s="80" t="n">
        <f aca="false">G90/12</f>
        <v>825.75</v>
      </c>
    </row>
    <row r="91" customFormat="false" ht="15.75" hidden="false" customHeight="true" outlineLevel="0" collapsed="false">
      <c r="A91" s="77" t="s">
        <v>61</v>
      </c>
      <c r="B91" s="77" t="s">
        <v>338</v>
      </c>
      <c r="C91" s="77" t="s">
        <v>33</v>
      </c>
      <c r="D91" s="77" t="s">
        <v>62</v>
      </c>
      <c r="E91" s="87" t="n">
        <v>1856278</v>
      </c>
      <c r="F91" s="87" t="n">
        <f aca="false">E91/12</f>
        <v>154689.833333333</v>
      </c>
      <c r="G91" s="82" t="n">
        <v>22231</v>
      </c>
      <c r="H91" s="82" t="n">
        <f aca="false">G91/12</f>
        <v>1852.58333333333</v>
      </c>
    </row>
    <row r="92" customFormat="false" ht="15.75" hidden="false" customHeight="true" outlineLevel="0" collapsed="false">
      <c r="A92" s="75" t="s">
        <v>63</v>
      </c>
      <c r="B92" s="75" t="s">
        <v>339</v>
      </c>
      <c r="C92" s="75" t="s">
        <v>45</v>
      </c>
      <c r="D92" s="75" t="s">
        <v>62</v>
      </c>
      <c r="E92" s="86" t="n">
        <v>2161854</v>
      </c>
      <c r="F92" s="86" t="n">
        <f aca="false">E92/12</f>
        <v>180154.5</v>
      </c>
      <c r="G92" s="80" t="n">
        <v>25890</v>
      </c>
      <c r="H92" s="80" t="n">
        <f aca="false">G92/12</f>
        <v>2157.5</v>
      </c>
    </row>
    <row r="93" customFormat="false" ht="15.75" hidden="false" customHeight="true" outlineLevel="0" collapsed="false">
      <c r="A93" s="77" t="s">
        <v>340</v>
      </c>
      <c r="B93" s="77" t="s">
        <v>341</v>
      </c>
      <c r="C93" s="77" t="s">
        <v>46</v>
      </c>
      <c r="D93" s="77" t="s">
        <v>62</v>
      </c>
      <c r="E93" s="87" t="n">
        <v>2226565</v>
      </c>
      <c r="F93" s="87" t="n">
        <f aca="false">E93/12</f>
        <v>185547.083333333</v>
      </c>
      <c r="G93" s="82" t="n">
        <v>26665</v>
      </c>
      <c r="H93" s="82" t="n">
        <f aca="false">G93/12</f>
        <v>2222.08333333333</v>
      </c>
    </row>
    <row r="94" customFormat="false" ht="15.75" hidden="false" customHeight="true" outlineLevel="0" collapsed="false">
      <c r="A94" s="75" t="s">
        <v>342</v>
      </c>
      <c r="B94" s="75" t="s">
        <v>343</v>
      </c>
      <c r="C94" s="75" t="s">
        <v>39</v>
      </c>
      <c r="D94" s="75" t="s">
        <v>62</v>
      </c>
      <c r="E94" s="86" t="n">
        <v>2349821</v>
      </c>
      <c r="F94" s="86" t="n">
        <f aca="false">E94/12</f>
        <v>195818.416666667</v>
      </c>
      <c r="G94" s="80" t="n">
        <v>28142</v>
      </c>
      <c r="H94" s="80" t="n">
        <f aca="false">G94/12</f>
        <v>2345.16666666667</v>
      </c>
    </row>
    <row r="95" customFormat="false" ht="15.75" hidden="false" customHeight="true" outlineLevel="0" collapsed="false">
      <c r="A95" s="77" t="s">
        <v>344</v>
      </c>
      <c r="B95" s="77" t="s">
        <v>345</v>
      </c>
      <c r="C95" s="77" t="s">
        <v>39</v>
      </c>
      <c r="D95" s="77" t="s">
        <v>62</v>
      </c>
      <c r="E95" s="87" t="n">
        <v>1569909</v>
      </c>
      <c r="F95" s="87" t="n">
        <f aca="false">E95/12</f>
        <v>130825.75</v>
      </c>
      <c r="G95" s="82" t="n">
        <v>18801</v>
      </c>
      <c r="H95" s="82" t="n">
        <f aca="false">G95/12</f>
        <v>1566.75</v>
      </c>
    </row>
    <row r="96" customFormat="false" ht="15.75" hidden="false" customHeight="true" outlineLevel="0" collapsed="false">
      <c r="A96" s="75" t="s">
        <v>346</v>
      </c>
      <c r="B96" s="75" t="s">
        <v>347</v>
      </c>
      <c r="C96" s="75" t="s">
        <v>33</v>
      </c>
      <c r="D96" s="75" t="s">
        <v>62</v>
      </c>
      <c r="E96" s="86" t="n">
        <v>520376</v>
      </c>
      <c r="F96" s="86" t="n">
        <f aca="false">E96/12</f>
        <v>43364.6666666667</v>
      </c>
      <c r="G96" s="80" t="n">
        <v>6232</v>
      </c>
      <c r="H96" s="80" t="n">
        <f aca="false">G96/12</f>
        <v>519.333333333333</v>
      </c>
    </row>
    <row r="97" customFormat="false" ht="15.75" hidden="false" customHeight="true" outlineLevel="0" collapsed="false">
      <c r="A97" s="77" t="s">
        <v>348</v>
      </c>
      <c r="B97" s="77" t="s">
        <v>349</v>
      </c>
      <c r="C97" s="77" t="s">
        <v>35</v>
      </c>
      <c r="D97" s="77" t="s">
        <v>62</v>
      </c>
      <c r="E97" s="87" t="n">
        <v>1827484</v>
      </c>
      <c r="F97" s="87" t="n">
        <f aca="false">E97/12</f>
        <v>152290.333333333</v>
      </c>
      <c r="G97" s="82" t="n">
        <v>21886</v>
      </c>
      <c r="H97" s="82" t="n">
        <f aca="false">G97/12</f>
        <v>1823.83333333333</v>
      </c>
    </row>
    <row r="98" customFormat="false" ht="15.75" hidden="false" customHeight="true" outlineLevel="0" collapsed="false">
      <c r="A98" s="75" t="s">
        <v>350</v>
      </c>
      <c r="B98" s="75" t="s">
        <v>351</v>
      </c>
      <c r="C98" s="75" t="s">
        <v>39</v>
      </c>
      <c r="D98" s="75" t="s">
        <v>62</v>
      </c>
      <c r="E98" s="86" t="n">
        <v>759086</v>
      </c>
      <c r="F98" s="86" t="n">
        <f aca="false">E98/12</f>
        <v>63257.1666666667</v>
      </c>
      <c r="G98" s="80" t="n">
        <v>9091</v>
      </c>
      <c r="H98" s="80" t="n">
        <f aca="false">G98/12</f>
        <v>757.583333333333</v>
      </c>
    </row>
    <row r="99" customFormat="false" ht="15.75" hidden="false" customHeight="true" outlineLevel="0" collapsed="false">
      <c r="A99" s="77" t="s">
        <v>352</v>
      </c>
      <c r="B99" s="77" t="s">
        <v>353</v>
      </c>
      <c r="C99" s="77" t="s">
        <v>44</v>
      </c>
      <c r="D99" s="77" t="s">
        <v>62</v>
      </c>
      <c r="E99" s="87" t="n">
        <v>2396879</v>
      </c>
      <c r="F99" s="87" t="n">
        <f aca="false">E99/12</f>
        <v>199739.916666667</v>
      </c>
      <c r="G99" s="82" t="n">
        <v>28705</v>
      </c>
      <c r="H99" s="82" t="n">
        <f aca="false">G99/12</f>
        <v>2392.08333333333</v>
      </c>
    </row>
    <row r="100" customFormat="false" ht="15.75" hidden="false" customHeight="true" outlineLevel="0" collapsed="false">
      <c r="A100" s="75" t="s">
        <v>354</v>
      </c>
      <c r="B100" s="75" t="s">
        <v>355</v>
      </c>
      <c r="C100" s="75" t="s">
        <v>44</v>
      </c>
      <c r="D100" s="75" t="s">
        <v>62</v>
      </c>
      <c r="E100" s="86" t="n">
        <v>1329442</v>
      </c>
      <c r="F100" s="86" t="n">
        <f aca="false">E100/12</f>
        <v>110786.833333333</v>
      </c>
      <c r="G100" s="80" t="n">
        <v>15921</v>
      </c>
      <c r="H100" s="80" t="n">
        <f aca="false">G100/12</f>
        <v>1326.75</v>
      </c>
    </row>
    <row r="101" customFormat="false" ht="15.75" hidden="false" customHeight="true" outlineLevel="0" collapsed="false">
      <c r="A101" s="77" t="s">
        <v>356</v>
      </c>
      <c r="B101" s="77" t="s">
        <v>357</v>
      </c>
      <c r="C101" s="77" t="s">
        <v>39</v>
      </c>
      <c r="D101" s="77" t="s">
        <v>62</v>
      </c>
      <c r="E101" s="87" t="n">
        <v>2721433</v>
      </c>
      <c r="F101" s="87" t="n">
        <f aca="false">E101/12</f>
        <v>226786.083333333</v>
      </c>
      <c r="G101" s="82" t="n">
        <v>32592</v>
      </c>
      <c r="H101" s="82" t="n">
        <f aca="false">G101/12</f>
        <v>2716</v>
      </c>
    </row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5276"/>
    <pageSetUpPr fitToPage="false"/>
  </sheetPr>
  <dimension ref="A1:R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16" min="5" style="0" width="22"/>
    <col collapsed="false" customWidth="true" hidden="false" outlineLevel="0" max="18" min="17" style="0" width="21"/>
    <col collapsed="false" customWidth="true" hidden="false" outlineLevel="0" max="26" min="19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358</v>
      </c>
      <c r="E1" s="74" t="s">
        <v>390</v>
      </c>
      <c r="F1" s="74" t="s">
        <v>391</v>
      </c>
      <c r="G1" s="74" t="s">
        <v>392</v>
      </c>
      <c r="H1" s="74" t="s">
        <v>393</v>
      </c>
      <c r="I1" s="74" t="s">
        <v>394</v>
      </c>
      <c r="J1" s="74" t="s">
        <v>395</v>
      </c>
      <c r="K1" s="74" t="s">
        <v>396</v>
      </c>
      <c r="L1" s="74" t="s">
        <v>397</v>
      </c>
      <c r="M1" s="74" t="s">
        <v>398</v>
      </c>
      <c r="N1" s="74" t="s">
        <v>399</v>
      </c>
      <c r="O1" s="74" t="s">
        <v>400</v>
      </c>
      <c r="P1" s="74" t="s">
        <v>401</v>
      </c>
      <c r="Q1" s="74" t="s">
        <v>402</v>
      </c>
      <c r="R1" s="74" t="s">
        <v>403</v>
      </c>
    </row>
    <row r="2" customFormat="false" ht="15" hidden="false" customHeight="false" outlineLevel="0" collapsed="false">
      <c r="A2" s="88" t="s">
        <v>91</v>
      </c>
      <c r="B2" s="88" t="s">
        <v>130</v>
      </c>
      <c r="C2" s="88" t="s">
        <v>41</v>
      </c>
      <c r="D2" s="88" t="s">
        <v>56</v>
      </c>
      <c r="E2" s="89" t="n">
        <v>7.6</v>
      </c>
      <c r="F2" s="89" t="n">
        <v>8.1</v>
      </c>
      <c r="G2" s="89" t="n">
        <v>6</v>
      </c>
      <c r="H2" s="89" t="n">
        <v>8.3</v>
      </c>
      <c r="I2" s="89" t="n">
        <v>6.4</v>
      </c>
      <c r="J2" s="89" t="n">
        <v>7.1</v>
      </c>
      <c r="K2" s="89" t="n">
        <v>8.5</v>
      </c>
      <c r="L2" s="89" t="n">
        <v>7.1</v>
      </c>
      <c r="M2" s="89" t="n">
        <v>8.5</v>
      </c>
      <c r="N2" s="89" t="n">
        <v>8.3</v>
      </c>
      <c r="O2" s="89" t="n">
        <v>8.2</v>
      </c>
      <c r="P2" s="89" t="n">
        <v>6.8</v>
      </c>
      <c r="Q2" s="89" t="n">
        <f aca="false">AVERAGE(E2:P2)</f>
        <v>7.575</v>
      </c>
      <c r="R2" s="90" t="str">
        <f aca="false">IF(Q2&lt;8,"⚠ Below 8 Hrs","")</f>
        <v>⚠ Below 8 Hrs</v>
      </c>
    </row>
    <row r="3" customFormat="false" ht="15" hidden="false" customHeight="false" outlineLevel="0" collapsed="false">
      <c r="A3" s="77" t="s">
        <v>136</v>
      </c>
      <c r="B3" s="77" t="s">
        <v>137</v>
      </c>
      <c r="C3" s="77" t="s">
        <v>39</v>
      </c>
      <c r="D3" s="77" t="s">
        <v>56</v>
      </c>
      <c r="E3" s="91" t="n">
        <v>9.5</v>
      </c>
      <c r="F3" s="91" t="n">
        <v>7.7</v>
      </c>
      <c r="G3" s="91" t="n">
        <v>8.3</v>
      </c>
      <c r="H3" s="91" t="n">
        <v>7.7</v>
      </c>
      <c r="I3" s="91" t="n">
        <v>9</v>
      </c>
      <c r="J3" s="91" t="n">
        <v>9</v>
      </c>
      <c r="K3" s="91" t="n">
        <v>7.6</v>
      </c>
      <c r="L3" s="91" t="n">
        <v>8.9</v>
      </c>
      <c r="M3" s="91" t="n">
        <v>9.2</v>
      </c>
      <c r="N3" s="91" t="n">
        <v>9.2</v>
      </c>
      <c r="O3" s="91" t="n">
        <v>8.5</v>
      </c>
      <c r="P3" s="91" t="n">
        <v>7.7</v>
      </c>
      <c r="Q3" s="91" t="n">
        <f aca="false">AVERAGE(E3:P3)</f>
        <v>8.525</v>
      </c>
      <c r="R3" s="92" t="str">
        <f aca="false">IF(Q3&lt;8,"⚠ Below 8 Hrs","")</f>
        <v/>
      </c>
    </row>
    <row r="4" customFormat="false" ht="15" hidden="false" customHeight="false" outlineLevel="0" collapsed="false">
      <c r="A4" s="88" t="s">
        <v>141</v>
      </c>
      <c r="B4" s="88" t="s">
        <v>142</v>
      </c>
      <c r="C4" s="88" t="s">
        <v>41</v>
      </c>
      <c r="D4" s="88" t="s">
        <v>56</v>
      </c>
      <c r="E4" s="89" t="n">
        <v>6.5</v>
      </c>
      <c r="F4" s="89" t="n">
        <v>6.2</v>
      </c>
      <c r="G4" s="89" t="n">
        <v>7.5</v>
      </c>
      <c r="H4" s="89" t="n">
        <v>7.3</v>
      </c>
      <c r="I4" s="89" t="n">
        <v>7.1</v>
      </c>
      <c r="J4" s="89" t="n">
        <v>6</v>
      </c>
      <c r="K4" s="89" t="n">
        <v>6.9</v>
      </c>
      <c r="L4" s="89" t="n">
        <v>6.3</v>
      </c>
      <c r="M4" s="89" t="n">
        <v>8.2</v>
      </c>
      <c r="N4" s="89" t="n">
        <v>7.7</v>
      </c>
      <c r="O4" s="89" t="n">
        <v>7.2</v>
      </c>
      <c r="P4" s="89" t="n">
        <v>6.6</v>
      </c>
      <c r="Q4" s="89" t="n">
        <f aca="false">AVERAGE(E4:P4)</f>
        <v>6.95833333333333</v>
      </c>
      <c r="R4" s="90" t="str">
        <f aca="false">IF(Q4&lt;8,"⚠ Below 8 Hrs","")</f>
        <v>⚠ Below 8 Hrs</v>
      </c>
    </row>
    <row r="5" customFormat="false" ht="15" hidden="false" customHeight="false" outlineLevel="0" collapsed="false">
      <c r="A5" s="88" t="s">
        <v>144</v>
      </c>
      <c r="B5" s="88" t="s">
        <v>145</v>
      </c>
      <c r="C5" s="88" t="s">
        <v>46</v>
      </c>
      <c r="D5" s="88" t="s">
        <v>56</v>
      </c>
      <c r="E5" s="89" t="n">
        <v>8</v>
      </c>
      <c r="F5" s="89" t="n">
        <v>6.3</v>
      </c>
      <c r="G5" s="89" t="n">
        <v>6.9</v>
      </c>
      <c r="H5" s="89" t="n">
        <v>6.7</v>
      </c>
      <c r="I5" s="89" t="n">
        <v>7</v>
      </c>
      <c r="J5" s="89" t="n">
        <v>8</v>
      </c>
      <c r="K5" s="89" t="n">
        <v>8.2</v>
      </c>
      <c r="L5" s="89" t="n">
        <v>7.6</v>
      </c>
      <c r="M5" s="89" t="n">
        <v>7.7</v>
      </c>
      <c r="N5" s="89" t="n">
        <v>6.2</v>
      </c>
      <c r="O5" s="89" t="n">
        <v>7.4</v>
      </c>
      <c r="P5" s="89" t="n">
        <v>7.5</v>
      </c>
      <c r="Q5" s="89" t="n">
        <f aca="false">AVERAGE(E5:P5)</f>
        <v>7.29166666666667</v>
      </c>
      <c r="R5" s="90" t="str">
        <f aca="false">IF(Q5&lt;8,"⚠ Below 8 Hrs","")</f>
        <v>⚠ Below 8 Hrs</v>
      </c>
    </row>
    <row r="6" customFormat="false" ht="15" hidden="false" customHeight="false" outlineLevel="0" collapsed="false">
      <c r="A6" s="88" t="s">
        <v>149</v>
      </c>
      <c r="B6" s="88" t="s">
        <v>150</v>
      </c>
      <c r="C6" s="88" t="s">
        <v>45</v>
      </c>
      <c r="D6" s="88" t="s">
        <v>56</v>
      </c>
      <c r="E6" s="89" t="n">
        <v>6.9</v>
      </c>
      <c r="F6" s="89" t="n">
        <v>6.5</v>
      </c>
      <c r="G6" s="89" t="n">
        <v>7.9</v>
      </c>
      <c r="H6" s="89" t="n">
        <v>8.3</v>
      </c>
      <c r="I6" s="89" t="n">
        <v>7.5</v>
      </c>
      <c r="J6" s="89" t="n">
        <v>7.1</v>
      </c>
      <c r="K6" s="89" t="n">
        <v>6.5</v>
      </c>
      <c r="L6" s="89" t="n">
        <v>8.2</v>
      </c>
      <c r="M6" s="89" t="n">
        <v>6.4</v>
      </c>
      <c r="N6" s="89" t="n">
        <v>6.3</v>
      </c>
      <c r="O6" s="89" t="n">
        <v>7.8</v>
      </c>
      <c r="P6" s="89" t="n">
        <v>6.9</v>
      </c>
      <c r="Q6" s="89" t="n">
        <f aca="false">AVERAGE(E6:P6)</f>
        <v>7.19166666666667</v>
      </c>
      <c r="R6" s="90" t="str">
        <f aca="false">IF(Q6&lt;8,"⚠ Below 8 Hrs","")</f>
        <v>⚠ Below 8 Hrs</v>
      </c>
    </row>
    <row r="7" customFormat="false" ht="15" hidden="false" customHeight="false" outlineLevel="0" collapsed="false">
      <c r="A7" s="77" t="s">
        <v>154</v>
      </c>
      <c r="B7" s="77" t="s">
        <v>155</v>
      </c>
      <c r="C7" s="77" t="s">
        <v>37</v>
      </c>
      <c r="D7" s="77" t="s">
        <v>56</v>
      </c>
      <c r="E7" s="91" t="n">
        <v>9.3</v>
      </c>
      <c r="F7" s="91" t="n">
        <v>8.1</v>
      </c>
      <c r="G7" s="91" t="n">
        <v>9</v>
      </c>
      <c r="H7" s="91" t="n">
        <v>8.1</v>
      </c>
      <c r="I7" s="91" t="n">
        <v>8.9</v>
      </c>
      <c r="J7" s="91" t="n">
        <v>9.2</v>
      </c>
      <c r="K7" s="91" t="n">
        <v>8.2</v>
      </c>
      <c r="L7" s="91" t="n">
        <v>9.7</v>
      </c>
      <c r="M7" s="91" t="n">
        <v>7.6</v>
      </c>
      <c r="N7" s="91" t="n">
        <v>9.4</v>
      </c>
      <c r="O7" s="91" t="n">
        <v>9.5</v>
      </c>
      <c r="P7" s="91" t="n">
        <v>8</v>
      </c>
      <c r="Q7" s="91" t="n">
        <f aca="false">AVERAGE(E7:P7)</f>
        <v>8.75</v>
      </c>
      <c r="R7" s="92" t="str">
        <f aca="false">IF(Q7&lt;8,"⚠ Below 8 Hrs","")</f>
        <v/>
      </c>
    </row>
    <row r="8" customFormat="false" ht="15" hidden="false" customHeight="false" outlineLevel="0" collapsed="false">
      <c r="A8" s="75" t="s">
        <v>159</v>
      </c>
      <c r="B8" s="75" t="s">
        <v>160</v>
      </c>
      <c r="C8" s="75" t="s">
        <v>44</v>
      </c>
      <c r="D8" s="75" t="s">
        <v>56</v>
      </c>
      <c r="E8" s="93" t="n">
        <v>7.9</v>
      </c>
      <c r="F8" s="93" t="n">
        <v>8.4</v>
      </c>
      <c r="G8" s="93" t="n">
        <v>9</v>
      </c>
      <c r="H8" s="93" t="n">
        <v>9.3</v>
      </c>
      <c r="I8" s="93" t="n">
        <v>9.3</v>
      </c>
      <c r="J8" s="93" t="n">
        <v>8.1</v>
      </c>
      <c r="K8" s="93" t="n">
        <v>8.4</v>
      </c>
      <c r="L8" s="93" t="n">
        <v>8.1</v>
      </c>
      <c r="M8" s="93" t="n">
        <v>9</v>
      </c>
      <c r="N8" s="93" t="n">
        <v>7.7</v>
      </c>
      <c r="O8" s="93" t="n">
        <v>9.5</v>
      </c>
      <c r="P8" s="93" t="n">
        <v>7.5</v>
      </c>
      <c r="Q8" s="93" t="n">
        <f aca="false">AVERAGE(E8:P8)</f>
        <v>8.51666666666667</v>
      </c>
      <c r="R8" s="94" t="str">
        <f aca="false">IF(Q8&lt;8,"⚠ Below 8 Hrs","")</f>
        <v/>
      </c>
    </row>
    <row r="9" customFormat="false" ht="15" hidden="false" customHeight="false" outlineLevel="0" collapsed="false">
      <c r="A9" s="77" t="s">
        <v>164</v>
      </c>
      <c r="B9" s="77" t="s">
        <v>165</v>
      </c>
      <c r="C9" s="77" t="s">
        <v>45</v>
      </c>
      <c r="D9" s="77" t="s">
        <v>56</v>
      </c>
      <c r="E9" s="91" t="n">
        <v>8.2</v>
      </c>
      <c r="F9" s="91" t="n">
        <v>8.4</v>
      </c>
      <c r="G9" s="91" t="n">
        <v>9.4</v>
      </c>
      <c r="H9" s="91" t="n">
        <v>8.5</v>
      </c>
      <c r="I9" s="91" t="n">
        <v>8.8</v>
      </c>
      <c r="J9" s="91" t="n">
        <v>7.9</v>
      </c>
      <c r="K9" s="91" t="n">
        <v>8.6</v>
      </c>
      <c r="L9" s="91" t="n">
        <v>9.8</v>
      </c>
      <c r="M9" s="91" t="n">
        <v>7.7</v>
      </c>
      <c r="N9" s="91" t="n">
        <v>8.9</v>
      </c>
      <c r="O9" s="91" t="n">
        <v>7.5</v>
      </c>
      <c r="P9" s="91" t="n">
        <v>8</v>
      </c>
      <c r="Q9" s="91" t="n">
        <f aca="false">AVERAGE(E9:P9)</f>
        <v>8.475</v>
      </c>
      <c r="R9" s="92" t="str">
        <f aca="false">IF(Q9&lt;8,"⚠ Below 8 Hrs","")</f>
        <v/>
      </c>
    </row>
    <row r="10" customFormat="false" ht="15" hidden="false" customHeight="false" outlineLevel="0" collapsed="false">
      <c r="A10" s="75" t="s">
        <v>167</v>
      </c>
      <c r="B10" s="75" t="s">
        <v>168</v>
      </c>
      <c r="C10" s="75" t="s">
        <v>39</v>
      </c>
      <c r="D10" s="75" t="s">
        <v>56</v>
      </c>
      <c r="E10" s="93" t="n">
        <v>9.7</v>
      </c>
      <c r="F10" s="93" t="n">
        <v>8.4</v>
      </c>
      <c r="G10" s="93" t="n">
        <v>8.2</v>
      </c>
      <c r="H10" s="93" t="n">
        <v>9.1</v>
      </c>
      <c r="I10" s="93" t="n">
        <v>9.3</v>
      </c>
      <c r="J10" s="93" t="n">
        <v>8.5</v>
      </c>
      <c r="K10" s="93" t="n">
        <v>8.4</v>
      </c>
      <c r="L10" s="93" t="n">
        <v>9</v>
      </c>
      <c r="M10" s="93" t="n">
        <v>8.7</v>
      </c>
      <c r="N10" s="93" t="n">
        <v>7.9</v>
      </c>
      <c r="O10" s="93" t="n">
        <v>7.7</v>
      </c>
      <c r="P10" s="93" t="n">
        <v>7.7</v>
      </c>
      <c r="Q10" s="93" t="n">
        <f aca="false">AVERAGE(E10:P10)</f>
        <v>8.55</v>
      </c>
      <c r="R10" s="94" t="str">
        <f aca="false">IF(Q10&lt;8,"⚠ Below 8 Hrs","")</f>
        <v/>
      </c>
    </row>
    <row r="11" customFormat="false" ht="15" hidden="false" customHeight="false" outlineLevel="0" collapsed="false">
      <c r="A11" s="77" t="s">
        <v>170</v>
      </c>
      <c r="B11" s="77" t="s">
        <v>171</v>
      </c>
      <c r="C11" s="77" t="s">
        <v>37</v>
      </c>
      <c r="D11" s="77" t="s">
        <v>56</v>
      </c>
      <c r="E11" s="91" t="n">
        <v>9.7</v>
      </c>
      <c r="F11" s="91" t="n">
        <v>7.9</v>
      </c>
      <c r="G11" s="91" t="n">
        <v>8.3</v>
      </c>
      <c r="H11" s="91" t="n">
        <v>8.8</v>
      </c>
      <c r="I11" s="91" t="n">
        <v>9.3</v>
      </c>
      <c r="J11" s="91" t="n">
        <v>9</v>
      </c>
      <c r="K11" s="91" t="n">
        <v>9</v>
      </c>
      <c r="L11" s="91" t="n">
        <v>8.2</v>
      </c>
      <c r="M11" s="91" t="n">
        <v>8.5</v>
      </c>
      <c r="N11" s="91" t="n">
        <v>9.7</v>
      </c>
      <c r="O11" s="91" t="n">
        <v>8</v>
      </c>
      <c r="P11" s="91" t="n">
        <v>8.1</v>
      </c>
      <c r="Q11" s="91" t="n">
        <f aca="false">AVERAGE(E11:P11)</f>
        <v>8.70833333333333</v>
      </c>
      <c r="R11" s="92" t="str">
        <f aca="false">IF(Q11&lt;8,"⚠ Below 8 Hrs","")</f>
        <v/>
      </c>
    </row>
    <row r="12" customFormat="false" ht="15" hidden="false" customHeight="false" outlineLevel="0" collapsed="false">
      <c r="A12" s="75" t="s">
        <v>173</v>
      </c>
      <c r="B12" s="75" t="s">
        <v>174</v>
      </c>
      <c r="C12" s="75" t="s">
        <v>33</v>
      </c>
      <c r="D12" s="75" t="s">
        <v>56</v>
      </c>
      <c r="E12" s="93" t="n">
        <v>7.8</v>
      </c>
      <c r="F12" s="93" t="n">
        <v>8.9</v>
      </c>
      <c r="G12" s="93" t="n">
        <v>7.6</v>
      </c>
      <c r="H12" s="93" t="n">
        <v>9</v>
      </c>
      <c r="I12" s="93" t="n">
        <v>9</v>
      </c>
      <c r="J12" s="93" t="n">
        <v>7.9</v>
      </c>
      <c r="K12" s="93" t="n">
        <v>7.5</v>
      </c>
      <c r="L12" s="93" t="n">
        <v>7.8</v>
      </c>
      <c r="M12" s="93" t="n">
        <v>7.5</v>
      </c>
      <c r="N12" s="93" t="n">
        <v>8.6</v>
      </c>
      <c r="O12" s="93" t="n">
        <v>8.3</v>
      </c>
      <c r="P12" s="93" t="n">
        <v>8.7</v>
      </c>
      <c r="Q12" s="93" t="n">
        <f aca="false">AVERAGE(E12:P12)</f>
        <v>8.21666666666667</v>
      </c>
      <c r="R12" s="94" t="str">
        <f aca="false">IF(Q12&lt;8,"⚠ Below 8 Hrs","")</f>
        <v/>
      </c>
    </row>
    <row r="13" customFormat="false" ht="15" hidden="false" customHeight="false" outlineLevel="0" collapsed="false">
      <c r="A13" s="77" t="s">
        <v>178</v>
      </c>
      <c r="B13" s="77" t="s">
        <v>179</v>
      </c>
      <c r="C13" s="77" t="s">
        <v>35</v>
      </c>
      <c r="D13" s="77" t="s">
        <v>56</v>
      </c>
      <c r="E13" s="91" t="n">
        <v>8.1</v>
      </c>
      <c r="F13" s="91" t="n">
        <v>8.4</v>
      </c>
      <c r="G13" s="91" t="n">
        <v>9.2</v>
      </c>
      <c r="H13" s="91" t="n">
        <v>9.5</v>
      </c>
      <c r="I13" s="91" t="n">
        <v>9.2</v>
      </c>
      <c r="J13" s="91" t="n">
        <v>7.8</v>
      </c>
      <c r="K13" s="91" t="n">
        <v>9.6</v>
      </c>
      <c r="L13" s="91" t="n">
        <v>8.3</v>
      </c>
      <c r="M13" s="91" t="n">
        <v>8.5</v>
      </c>
      <c r="N13" s="91" t="n">
        <v>8.7</v>
      </c>
      <c r="O13" s="91" t="n">
        <v>8.1</v>
      </c>
      <c r="P13" s="91" t="n">
        <v>9.7</v>
      </c>
      <c r="Q13" s="91" t="n">
        <f aca="false">AVERAGE(E13:P13)</f>
        <v>8.75833333333333</v>
      </c>
      <c r="R13" s="92" t="str">
        <f aca="false">IF(Q13&lt;8,"⚠ Below 8 Hrs","")</f>
        <v/>
      </c>
    </row>
    <row r="14" customFormat="false" ht="15" hidden="false" customHeight="false" outlineLevel="0" collapsed="false">
      <c r="A14" s="75" t="s">
        <v>183</v>
      </c>
      <c r="B14" s="75" t="s">
        <v>184</v>
      </c>
      <c r="C14" s="75" t="s">
        <v>43</v>
      </c>
      <c r="D14" s="75" t="s">
        <v>56</v>
      </c>
      <c r="E14" s="93" t="n">
        <v>8.6</v>
      </c>
      <c r="F14" s="93" t="n">
        <v>8.7</v>
      </c>
      <c r="G14" s="93" t="n">
        <v>7.6</v>
      </c>
      <c r="H14" s="93" t="n">
        <v>9.5</v>
      </c>
      <c r="I14" s="93" t="n">
        <v>7.9</v>
      </c>
      <c r="J14" s="93" t="n">
        <v>7.9</v>
      </c>
      <c r="K14" s="93" t="n">
        <v>9.3</v>
      </c>
      <c r="L14" s="93" t="n">
        <v>9.6</v>
      </c>
      <c r="M14" s="93" t="n">
        <v>9.1</v>
      </c>
      <c r="N14" s="93" t="n">
        <v>7.8</v>
      </c>
      <c r="O14" s="93" t="n">
        <v>9.2</v>
      </c>
      <c r="P14" s="93" t="n">
        <v>7.5</v>
      </c>
      <c r="Q14" s="93" t="n">
        <f aca="false">AVERAGE(E14:P14)</f>
        <v>8.55833333333333</v>
      </c>
      <c r="R14" s="94" t="str">
        <f aca="false">IF(Q14&lt;8,"⚠ Below 8 Hrs","")</f>
        <v/>
      </c>
    </row>
    <row r="15" customFormat="false" ht="15" hidden="false" customHeight="false" outlineLevel="0" collapsed="false">
      <c r="A15" s="77" t="s">
        <v>188</v>
      </c>
      <c r="B15" s="77" t="s">
        <v>189</v>
      </c>
      <c r="C15" s="77" t="s">
        <v>45</v>
      </c>
      <c r="D15" s="77" t="s">
        <v>56</v>
      </c>
      <c r="E15" s="91" t="n">
        <v>7.5</v>
      </c>
      <c r="F15" s="91" t="n">
        <v>7.6</v>
      </c>
      <c r="G15" s="91" t="n">
        <v>8.3</v>
      </c>
      <c r="H15" s="91" t="n">
        <v>9.6</v>
      </c>
      <c r="I15" s="91" t="n">
        <v>7.9</v>
      </c>
      <c r="J15" s="91" t="n">
        <v>9.7</v>
      </c>
      <c r="K15" s="91" t="n">
        <v>7.6</v>
      </c>
      <c r="L15" s="91" t="n">
        <v>9.3</v>
      </c>
      <c r="M15" s="91" t="n">
        <v>9.1</v>
      </c>
      <c r="N15" s="91" t="n">
        <v>9</v>
      </c>
      <c r="O15" s="91" t="n">
        <v>8</v>
      </c>
      <c r="P15" s="91" t="n">
        <v>8.1</v>
      </c>
      <c r="Q15" s="91" t="n">
        <f aca="false">AVERAGE(E15:P15)</f>
        <v>8.475</v>
      </c>
      <c r="R15" s="92" t="str">
        <f aca="false">IF(Q15&lt;8,"⚠ Below 8 Hrs","")</f>
        <v/>
      </c>
    </row>
    <row r="16" customFormat="false" ht="15" hidden="false" customHeight="false" outlineLevel="0" collapsed="false">
      <c r="A16" s="75" t="s">
        <v>190</v>
      </c>
      <c r="B16" s="75" t="s">
        <v>191</v>
      </c>
      <c r="C16" s="75" t="s">
        <v>45</v>
      </c>
      <c r="D16" s="75" t="s">
        <v>56</v>
      </c>
      <c r="E16" s="93" t="n">
        <v>8.2</v>
      </c>
      <c r="F16" s="93" t="n">
        <v>9.4</v>
      </c>
      <c r="G16" s="93" t="n">
        <v>8.8</v>
      </c>
      <c r="H16" s="93" t="n">
        <v>7.8</v>
      </c>
      <c r="I16" s="93" t="n">
        <v>9</v>
      </c>
      <c r="J16" s="93" t="n">
        <v>7.6</v>
      </c>
      <c r="K16" s="93" t="n">
        <v>8</v>
      </c>
      <c r="L16" s="93" t="n">
        <v>8.7</v>
      </c>
      <c r="M16" s="93" t="n">
        <v>7.6</v>
      </c>
      <c r="N16" s="93" t="n">
        <v>8.4</v>
      </c>
      <c r="O16" s="93" t="n">
        <v>9.5</v>
      </c>
      <c r="P16" s="93" t="n">
        <v>9.5</v>
      </c>
      <c r="Q16" s="93" t="n">
        <f aca="false">AVERAGE(E16:P16)</f>
        <v>8.54166666666667</v>
      </c>
      <c r="R16" s="94" t="str">
        <f aca="false">IF(Q16&lt;8,"⚠ Below 8 Hrs","")</f>
        <v/>
      </c>
    </row>
    <row r="17" customFormat="false" ht="15" hidden="false" customHeight="false" outlineLevel="0" collapsed="false">
      <c r="A17" s="77" t="s">
        <v>192</v>
      </c>
      <c r="B17" s="77" t="s">
        <v>193</v>
      </c>
      <c r="C17" s="77" t="s">
        <v>45</v>
      </c>
      <c r="D17" s="77" t="s">
        <v>56</v>
      </c>
      <c r="E17" s="91" t="n">
        <v>8.2</v>
      </c>
      <c r="F17" s="91" t="n">
        <v>7.7</v>
      </c>
      <c r="G17" s="91" t="n">
        <v>8.6</v>
      </c>
      <c r="H17" s="91" t="n">
        <v>8.3</v>
      </c>
      <c r="I17" s="91" t="n">
        <v>8.2</v>
      </c>
      <c r="J17" s="91" t="n">
        <v>9.3</v>
      </c>
      <c r="K17" s="91" t="n">
        <v>9.2</v>
      </c>
      <c r="L17" s="91" t="n">
        <v>8.1</v>
      </c>
      <c r="M17" s="91" t="n">
        <v>8.3</v>
      </c>
      <c r="N17" s="91" t="n">
        <v>9.7</v>
      </c>
      <c r="O17" s="91" t="n">
        <v>9.8</v>
      </c>
      <c r="P17" s="91" t="n">
        <v>9.3</v>
      </c>
      <c r="Q17" s="91" t="n">
        <f aca="false">AVERAGE(E17:P17)</f>
        <v>8.725</v>
      </c>
      <c r="R17" s="92" t="str">
        <f aca="false">IF(Q17&lt;8,"⚠ Below 8 Hrs","")</f>
        <v/>
      </c>
    </row>
    <row r="18" customFormat="false" ht="15" hidden="false" customHeight="false" outlineLevel="0" collapsed="false">
      <c r="A18" s="75" t="s">
        <v>194</v>
      </c>
      <c r="B18" s="75" t="s">
        <v>195</v>
      </c>
      <c r="C18" s="75" t="s">
        <v>35</v>
      </c>
      <c r="D18" s="75" t="s">
        <v>56</v>
      </c>
      <c r="E18" s="93" t="n">
        <v>8.8</v>
      </c>
      <c r="F18" s="93" t="n">
        <v>9.3</v>
      </c>
      <c r="G18" s="93" t="n">
        <v>7.8</v>
      </c>
      <c r="H18" s="93" t="n">
        <v>9.6</v>
      </c>
      <c r="I18" s="93" t="n">
        <v>7.6</v>
      </c>
      <c r="J18" s="93" t="n">
        <v>8.7</v>
      </c>
      <c r="K18" s="93" t="n">
        <v>9</v>
      </c>
      <c r="L18" s="93" t="n">
        <v>9.1</v>
      </c>
      <c r="M18" s="93" t="n">
        <v>7.5</v>
      </c>
      <c r="N18" s="93" t="n">
        <v>8.3</v>
      </c>
      <c r="O18" s="93" t="n">
        <v>9.2</v>
      </c>
      <c r="P18" s="93" t="n">
        <v>8.4</v>
      </c>
      <c r="Q18" s="93" t="n">
        <f aca="false">AVERAGE(E18:P18)</f>
        <v>8.60833333333333</v>
      </c>
      <c r="R18" s="94" t="str">
        <f aca="false">IF(Q18&lt;8,"⚠ Below 8 Hrs","")</f>
        <v/>
      </c>
    </row>
    <row r="19" customFormat="false" ht="15" hidden="false" customHeight="false" outlineLevel="0" collapsed="false">
      <c r="A19" s="77" t="s">
        <v>197</v>
      </c>
      <c r="B19" s="77" t="s">
        <v>198</v>
      </c>
      <c r="C19" s="77" t="s">
        <v>39</v>
      </c>
      <c r="D19" s="77" t="s">
        <v>56</v>
      </c>
      <c r="E19" s="91" t="n">
        <v>8.2</v>
      </c>
      <c r="F19" s="91" t="n">
        <v>8</v>
      </c>
      <c r="G19" s="91" t="n">
        <v>9.8</v>
      </c>
      <c r="H19" s="91" t="n">
        <v>8.5</v>
      </c>
      <c r="I19" s="91" t="n">
        <v>9.7</v>
      </c>
      <c r="J19" s="91" t="n">
        <v>9.7</v>
      </c>
      <c r="K19" s="91" t="n">
        <v>7.8</v>
      </c>
      <c r="L19" s="91" t="n">
        <v>8.1</v>
      </c>
      <c r="M19" s="91" t="n">
        <v>7.6</v>
      </c>
      <c r="N19" s="91" t="n">
        <v>8</v>
      </c>
      <c r="O19" s="91" t="n">
        <v>9.4</v>
      </c>
      <c r="P19" s="91" t="n">
        <v>8.5</v>
      </c>
      <c r="Q19" s="91" t="n">
        <f aca="false">AVERAGE(E19:P19)</f>
        <v>8.60833333333333</v>
      </c>
      <c r="R19" s="92" t="str">
        <f aca="false">IF(Q19&lt;8,"⚠ Below 8 Hrs","")</f>
        <v/>
      </c>
    </row>
    <row r="20" customFormat="false" ht="15" hidden="false" customHeight="false" outlineLevel="0" collapsed="false">
      <c r="A20" s="75" t="s">
        <v>55</v>
      </c>
      <c r="B20" s="75" t="s">
        <v>199</v>
      </c>
      <c r="C20" s="75" t="s">
        <v>42</v>
      </c>
      <c r="D20" s="75" t="s">
        <v>56</v>
      </c>
      <c r="E20" s="93" t="n">
        <v>8.6</v>
      </c>
      <c r="F20" s="93" t="n">
        <v>9.2</v>
      </c>
      <c r="G20" s="93" t="n">
        <v>8.8</v>
      </c>
      <c r="H20" s="93" t="n">
        <v>8.7</v>
      </c>
      <c r="I20" s="93" t="n">
        <v>9</v>
      </c>
      <c r="J20" s="93" t="n">
        <v>8.4</v>
      </c>
      <c r="K20" s="93" t="n">
        <v>8.9</v>
      </c>
      <c r="L20" s="93" t="n">
        <v>7.6</v>
      </c>
      <c r="M20" s="93" t="n">
        <v>9</v>
      </c>
      <c r="N20" s="93" t="n">
        <v>7.8</v>
      </c>
      <c r="O20" s="93" t="n">
        <v>8.2</v>
      </c>
      <c r="P20" s="93" t="n">
        <v>9.5</v>
      </c>
      <c r="Q20" s="93" t="n">
        <f aca="false">AVERAGE(E20:P20)</f>
        <v>8.64166666666667</v>
      </c>
      <c r="R20" s="94" t="str">
        <f aca="false">IF(Q20&lt;8,"⚠ Below 8 Hrs","")</f>
        <v/>
      </c>
    </row>
    <row r="21" customFormat="false" ht="15.75" hidden="false" customHeight="true" outlineLevel="0" collapsed="false">
      <c r="A21" s="77" t="s">
        <v>87</v>
      </c>
      <c r="B21" s="77" t="s">
        <v>204</v>
      </c>
      <c r="C21" s="77" t="s">
        <v>45</v>
      </c>
      <c r="D21" s="77" t="s">
        <v>56</v>
      </c>
      <c r="E21" s="91" t="n">
        <v>8.4</v>
      </c>
      <c r="F21" s="91" t="n">
        <v>9.4</v>
      </c>
      <c r="G21" s="91" t="n">
        <v>8.3</v>
      </c>
      <c r="H21" s="91" t="n">
        <v>8.5</v>
      </c>
      <c r="I21" s="91" t="n">
        <v>8</v>
      </c>
      <c r="J21" s="91" t="n">
        <v>9.7</v>
      </c>
      <c r="K21" s="91" t="n">
        <v>7.8</v>
      </c>
      <c r="L21" s="91" t="n">
        <v>9.3</v>
      </c>
      <c r="M21" s="91" t="n">
        <v>7.8</v>
      </c>
      <c r="N21" s="91" t="n">
        <v>7.7</v>
      </c>
      <c r="O21" s="91" t="n">
        <v>8.5</v>
      </c>
      <c r="P21" s="91" t="n">
        <v>8.2</v>
      </c>
      <c r="Q21" s="91" t="n">
        <f aca="false">AVERAGE(E21:P21)</f>
        <v>8.46666666666667</v>
      </c>
      <c r="R21" s="92" t="str">
        <f aca="false">IF(Q21&lt;8,"⚠ Below 8 Hrs","")</f>
        <v/>
      </c>
    </row>
    <row r="22" customFormat="false" ht="15.75" hidden="false" customHeight="true" outlineLevel="0" collapsed="false">
      <c r="A22" s="88" t="s">
        <v>69</v>
      </c>
      <c r="B22" s="88" t="s">
        <v>206</v>
      </c>
      <c r="C22" s="88" t="s">
        <v>45</v>
      </c>
      <c r="D22" s="88" t="s">
        <v>56</v>
      </c>
      <c r="E22" s="89" t="n">
        <v>6.9</v>
      </c>
      <c r="F22" s="89" t="n">
        <v>7.9</v>
      </c>
      <c r="G22" s="89" t="n">
        <v>7.1</v>
      </c>
      <c r="H22" s="89" t="n">
        <v>7.2</v>
      </c>
      <c r="I22" s="89" t="n">
        <v>8.1</v>
      </c>
      <c r="J22" s="89" t="n">
        <v>6.2</v>
      </c>
      <c r="K22" s="89" t="n">
        <v>8</v>
      </c>
      <c r="L22" s="89" t="n">
        <v>6.8</v>
      </c>
      <c r="M22" s="89" t="n">
        <v>7.8</v>
      </c>
      <c r="N22" s="89" t="n">
        <v>7.5</v>
      </c>
      <c r="O22" s="89" t="n">
        <v>6.5</v>
      </c>
      <c r="P22" s="89" t="n">
        <v>8.1</v>
      </c>
      <c r="Q22" s="89" t="n">
        <f aca="false">AVERAGE(E22:P22)</f>
        <v>7.34166666666667</v>
      </c>
      <c r="R22" s="90" t="str">
        <f aca="false">IF(Q22&lt;8,"⚠ Below 8 Hrs","")</f>
        <v>⚠ Below 8 Hrs</v>
      </c>
    </row>
    <row r="23" customFormat="false" ht="15.75" hidden="false" customHeight="true" outlineLevel="0" collapsed="false">
      <c r="A23" s="88" t="s">
        <v>90</v>
      </c>
      <c r="B23" s="88" t="s">
        <v>208</v>
      </c>
      <c r="C23" s="88" t="s">
        <v>35</v>
      </c>
      <c r="D23" s="88" t="s">
        <v>56</v>
      </c>
      <c r="E23" s="89" t="n">
        <v>7.8</v>
      </c>
      <c r="F23" s="89" t="n">
        <v>8.4</v>
      </c>
      <c r="G23" s="89" t="n">
        <v>7</v>
      </c>
      <c r="H23" s="89" t="n">
        <v>6.1</v>
      </c>
      <c r="I23" s="89" t="n">
        <v>6.7</v>
      </c>
      <c r="J23" s="89" t="n">
        <v>8.1</v>
      </c>
      <c r="K23" s="89" t="n">
        <v>6.4</v>
      </c>
      <c r="L23" s="89" t="n">
        <v>8.4</v>
      </c>
      <c r="M23" s="89" t="n">
        <v>8.1</v>
      </c>
      <c r="N23" s="89" t="n">
        <v>7.4</v>
      </c>
      <c r="O23" s="89" t="n">
        <v>7.4</v>
      </c>
      <c r="P23" s="89" t="n">
        <v>6.2</v>
      </c>
      <c r="Q23" s="89" t="n">
        <f aca="false">AVERAGE(E23:P23)</f>
        <v>7.33333333333333</v>
      </c>
      <c r="R23" s="90" t="str">
        <f aca="false">IF(Q23&lt;8,"⚠ Below 8 Hrs","")</f>
        <v>⚠ Below 8 Hrs</v>
      </c>
    </row>
    <row r="24" customFormat="false" ht="15.75" hidden="false" customHeight="true" outlineLevel="0" collapsed="false">
      <c r="A24" s="88" t="s">
        <v>209</v>
      </c>
      <c r="B24" s="88" t="s">
        <v>210</v>
      </c>
      <c r="C24" s="88" t="s">
        <v>43</v>
      </c>
      <c r="D24" s="88" t="s">
        <v>56</v>
      </c>
      <c r="E24" s="89" t="n">
        <v>8</v>
      </c>
      <c r="F24" s="89" t="n">
        <v>6.3</v>
      </c>
      <c r="G24" s="89" t="n">
        <v>6.2</v>
      </c>
      <c r="H24" s="89" t="n">
        <v>8</v>
      </c>
      <c r="I24" s="89" t="n">
        <v>6.6</v>
      </c>
      <c r="J24" s="89" t="n">
        <v>6.5</v>
      </c>
      <c r="K24" s="89" t="n">
        <v>7</v>
      </c>
      <c r="L24" s="89" t="n">
        <v>7.7</v>
      </c>
      <c r="M24" s="89" t="n">
        <v>8.3</v>
      </c>
      <c r="N24" s="89" t="n">
        <v>6.2</v>
      </c>
      <c r="O24" s="89" t="n">
        <v>7.5</v>
      </c>
      <c r="P24" s="89" t="n">
        <v>8.3</v>
      </c>
      <c r="Q24" s="89" t="n">
        <f aca="false">AVERAGE(E24:P24)</f>
        <v>7.21666666666667</v>
      </c>
      <c r="R24" s="90" t="str">
        <f aca="false">IF(Q24&lt;8,"⚠ Below 8 Hrs","")</f>
        <v>⚠ Below 8 Hrs</v>
      </c>
    </row>
    <row r="25" customFormat="false" ht="15.75" hidden="false" customHeight="true" outlineLevel="0" collapsed="false">
      <c r="A25" s="88" t="s">
        <v>212</v>
      </c>
      <c r="B25" s="88" t="s">
        <v>213</v>
      </c>
      <c r="C25" s="88" t="s">
        <v>46</v>
      </c>
      <c r="D25" s="88" t="s">
        <v>56</v>
      </c>
      <c r="E25" s="89" t="n">
        <v>8.5</v>
      </c>
      <c r="F25" s="89" t="n">
        <v>6.5</v>
      </c>
      <c r="G25" s="89" t="n">
        <v>7.6</v>
      </c>
      <c r="H25" s="89" t="n">
        <v>8</v>
      </c>
      <c r="I25" s="89" t="n">
        <v>6.2</v>
      </c>
      <c r="J25" s="89" t="n">
        <v>8.1</v>
      </c>
      <c r="K25" s="89" t="n">
        <v>8</v>
      </c>
      <c r="L25" s="89" t="n">
        <v>6.3</v>
      </c>
      <c r="M25" s="89" t="n">
        <v>8.4</v>
      </c>
      <c r="N25" s="89" t="n">
        <v>6.1</v>
      </c>
      <c r="O25" s="89" t="n">
        <v>8.3</v>
      </c>
      <c r="P25" s="89" t="n">
        <v>7.1</v>
      </c>
      <c r="Q25" s="89" t="n">
        <f aca="false">AVERAGE(E25:P25)</f>
        <v>7.425</v>
      </c>
      <c r="R25" s="90" t="str">
        <f aca="false">IF(Q25&lt;8,"⚠ Below 8 Hrs","")</f>
        <v>⚠ Below 8 Hrs</v>
      </c>
    </row>
    <row r="26" customFormat="false" ht="15.75" hidden="false" customHeight="true" outlineLevel="0" collapsed="false">
      <c r="A26" s="75" t="s">
        <v>70</v>
      </c>
      <c r="B26" s="75" t="s">
        <v>215</v>
      </c>
      <c r="C26" s="75" t="s">
        <v>46</v>
      </c>
      <c r="D26" s="75" t="s">
        <v>56</v>
      </c>
      <c r="E26" s="93" t="n">
        <v>8.6</v>
      </c>
      <c r="F26" s="93" t="n">
        <v>8.4</v>
      </c>
      <c r="G26" s="93" t="n">
        <v>8.5</v>
      </c>
      <c r="H26" s="93" t="n">
        <v>8.3</v>
      </c>
      <c r="I26" s="93" t="n">
        <v>9.6</v>
      </c>
      <c r="J26" s="93" t="n">
        <v>8.1</v>
      </c>
      <c r="K26" s="93" t="n">
        <v>8.5</v>
      </c>
      <c r="L26" s="93" t="n">
        <v>7.8</v>
      </c>
      <c r="M26" s="93" t="n">
        <v>8.9</v>
      </c>
      <c r="N26" s="93" t="n">
        <v>8.9</v>
      </c>
      <c r="O26" s="93" t="n">
        <v>9</v>
      </c>
      <c r="P26" s="93" t="n">
        <v>8.6</v>
      </c>
      <c r="Q26" s="93" t="n">
        <f aca="false">AVERAGE(E26:P26)</f>
        <v>8.6</v>
      </c>
      <c r="R26" s="94" t="str">
        <f aca="false">IF(Q26&lt;8,"⚠ Below 8 Hrs","")</f>
        <v/>
      </c>
    </row>
    <row r="27" customFormat="false" ht="15.75" hidden="false" customHeight="true" outlineLevel="0" collapsed="false">
      <c r="A27" s="77" t="s">
        <v>216</v>
      </c>
      <c r="B27" s="77" t="s">
        <v>217</v>
      </c>
      <c r="C27" s="77" t="s">
        <v>37</v>
      </c>
      <c r="D27" s="77" t="s">
        <v>56</v>
      </c>
      <c r="E27" s="91" t="n">
        <v>8.6</v>
      </c>
      <c r="F27" s="91" t="n">
        <v>7.7</v>
      </c>
      <c r="G27" s="91" t="n">
        <v>8.4</v>
      </c>
      <c r="H27" s="91" t="n">
        <v>8.5</v>
      </c>
      <c r="I27" s="91" t="n">
        <v>9</v>
      </c>
      <c r="J27" s="91" t="n">
        <v>9.3</v>
      </c>
      <c r="K27" s="91" t="n">
        <v>8.1</v>
      </c>
      <c r="L27" s="91" t="n">
        <v>9.8</v>
      </c>
      <c r="M27" s="91" t="n">
        <v>8.8</v>
      </c>
      <c r="N27" s="91" t="n">
        <v>7.5</v>
      </c>
      <c r="O27" s="91" t="n">
        <v>8.4</v>
      </c>
      <c r="P27" s="91" t="n">
        <v>9.1</v>
      </c>
      <c r="Q27" s="91" t="n">
        <f aca="false">AVERAGE(E27:P27)</f>
        <v>8.6</v>
      </c>
      <c r="R27" s="92" t="str">
        <f aca="false">IF(Q27&lt;8,"⚠ Below 8 Hrs","")</f>
        <v/>
      </c>
    </row>
    <row r="28" customFormat="false" ht="15.75" hidden="false" customHeight="true" outlineLevel="0" collapsed="false">
      <c r="A28" s="75" t="s">
        <v>218</v>
      </c>
      <c r="B28" s="75" t="s">
        <v>219</v>
      </c>
      <c r="C28" s="75" t="s">
        <v>44</v>
      </c>
      <c r="D28" s="75" t="s">
        <v>56</v>
      </c>
      <c r="E28" s="93" t="n">
        <v>9.3</v>
      </c>
      <c r="F28" s="93" t="n">
        <v>8.3</v>
      </c>
      <c r="G28" s="93" t="n">
        <v>8.8</v>
      </c>
      <c r="H28" s="93" t="n">
        <v>8.2</v>
      </c>
      <c r="I28" s="93" t="n">
        <v>8.1</v>
      </c>
      <c r="J28" s="93" t="n">
        <v>7.6</v>
      </c>
      <c r="K28" s="93" t="n">
        <v>8.9</v>
      </c>
      <c r="L28" s="93" t="n">
        <v>7.6</v>
      </c>
      <c r="M28" s="93" t="n">
        <v>9.4</v>
      </c>
      <c r="N28" s="93" t="n">
        <v>8.1</v>
      </c>
      <c r="O28" s="93" t="n">
        <v>9.4</v>
      </c>
      <c r="P28" s="93" t="n">
        <v>8.6</v>
      </c>
      <c r="Q28" s="93" t="n">
        <f aca="false">AVERAGE(E28:P28)</f>
        <v>8.525</v>
      </c>
      <c r="R28" s="94" t="str">
        <f aca="false">IF(Q28&lt;8,"⚠ Below 8 Hrs","")</f>
        <v/>
      </c>
    </row>
    <row r="29" customFormat="false" ht="15.75" hidden="false" customHeight="true" outlineLevel="0" collapsed="false">
      <c r="A29" s="77" t="s">
        <v>221</v>
      </c>
      <c r="B29" s="77" t="s">
        <v>222</v>
      </c>
      <c r="C29" s="77" t="s">
        <v>43</v>
      </c>
      <c r="D29" s="77" t="s">
        <v>56</v>
      </c>
      <c r="E29" s="91" t="n">
        <v>8.8</v>
      </c>
      <c r="F29" s="91" t="n">
        <v>8</v>
      </c>
      <c r="G29" s="91" t="n">
        <v>7.9</v>
      </c>
      <c r="H29" s="91" t="n">
        <v>8.1</v>
      </c>
      <c r="I29" s="91" t="n">
        <v>8.1</v>
      </c>
      <c r="J29" s="91" t="n">
        <v>8.7</v>
      </c>
      <c r="K29" s="91" t="n">
        <v>9.3</v>
      </c>
      <c r="L29" s="91" t="n">
        <v>9.2</v>
      </c>
      <c r="M29" s="91" t="n">
        <v>9.3</v>
      </c>
      <c r="N29" s="91" t="n">
        <v>9.7</v>
      </c>
      <c r="O29" s="91" t="n">
        <v>8.8</v>
      </c>
      <c r="P29" s="91" t="n">
        <v>9.8</v>
      </c>
      <c r="Q29" s="91" t="n">
        <f aca="false">AVERAGE(E29:P29)</f>
        <v>8.80833333333333</v>
      </c>
      <c r="R29" s="92" t="str">
        <f aca="false">IF(Q29&lt;8,"⚠ Below 8 Hrs","")</f>
        <v/>
      </c>
    </row>
    <row r="30" customFormat="false" ht="15.75" hidden="false" customHeight="true" outlineLevel="0" collapsed="false">
      <c r="A30" s="75" t="s">
        <v>93</v>
      </c>
      <c r="B30" s="75" t="s">
        <v>224</v>
      </c>
      <c r="C30" s="75" t="s">
        <v>44</v>
      </c>
      <c r="D30" s="75" t="s">
        <v>56</v>
      </c>
      <c r="E30" s="93" t="n">
        <v>9.7</v>
      </c>
      <c r="F30" s="93" t="n">
        <v>9.8</v>
      </c>
      <c r="G30" s="93" t="n">
        <v>7.9</v>
      </c>
      <c r="H30" s="93" t="n">
        <v>8</v>
      </c>
      <c r="I30" s="93" t="n">
        <v>8.2</v>
      </c>
      <c r="J30" s="93" t="n">
        <v>9.2</v>
      </c>
      <c r="K30" s="93" t="n">
        <v>8.3</v>
      </c>
      <c r="L30" s="93" t="n">
        <v>8.9</v>
      </c>
      <c r="M30" s="93" t="n">
        <v>9.1</v>
      </c>
      <c r="N30" s="93" t="n">
        <v>8.3</v>
      </c>
      <c r="O30" s="93" t="n">
        <v>8.8</v>
      </c>
      <c r="P30" s="93" t="n">
        <v>7.8</v>
      </c>
      <c r="Q30" s="93" t="n">
        <f aca="false">AVERAGE(E30:P30)</f>
        <v>8.66666666666667</v>
      </c>
      <c r="R30" s="94" t="str">
        <f aca="false">IF(Q30&lt;8,"⚠ Below 8 Hrs","")</f>
        <v/>
      </c>
    </row>
    <row r="31" customFormat="false" ht="15.75" hidden="false" customHeight="true" outlineLevel="0" collapsed="false">
      <c r="A31" s="77" t="s">
        <v>225</v>
      </c>
      <c r="B31" s="77" t="s">
        <v>226</v>
      </c>
      <c r="C31" s="77" t="s">
        <v>45</v>
      </c>
      <c r="D31" s="77" t="s">
        <v>56</v>
      </c>
      <c r="E31" s="91" t="n">
        <v>9.4</v>
      </c>
      <c r="F31" s="91" t="n">
        <v>9.4</v>
      </c>
      <c r="G31" s="91" t="n">
        <v>9.7</v>
      </c>
      <c r="H31" s="91" t="n">
        <v>8.7</v>
      </c>
      <c r="I31" s="91" t="n">
        <v>7.9</v>
      </c>
      <c r="J31" s="91" t="n">
        <v>7.6</v>
      </c>
      <c r="K31" s="91" t="n">
        <v>7.6</v>
      </c>
      <c r="L31" s="91" t="n">
        <v>8.9</v>
      </c>
      <c r="M31" s="91" t="n">
        <v>7.5</v>
      </c>
      <c r="N31" s="91" t="n">
        <v>8.6</v>
      </c>
      <c r="O31" s="91" t="n">
        <v>8.3</v>
      </c>
      <c r="P31" s="91" t="n">
        <v>8.9</v>
      </c>
      <c r="Q31" s="91" t="n">
        <f aca="false">AVERAGE(E31:P31)</f>
        <v>8.54166666666667</v>
      </c>
      <c r="R31" s="92" t="str">
        <f aca="false">IF(Q31&lt;8,"⚠ Below 8 Hrs","")</f>
        <v/>
      </c>
    </row>
    <row r="32" customFormat="false" ht="15.75" hidden="false" customHeight="true" outlineLevel="0" collapsed="false">
      <c r="A32" s="75" t="s">
        <v>227</v>
      </c>
      <c r="B32" s="75" t="s">
        <v>228</v>
      </c>
      <c r="C32" s="75" t="s">
        <v>39</v>
      </c>
      <c r="D32" s="75" t="s">
        <v>56</v>
      </c>
      <c r="E32" s="93" t="n">
        <v>8.3</v>
      </c>
      <c r="F32" s="93" t="n">
        <v>7.9</v>
      </c>
      <c r="G32" s="93" t="n">
        <v>9.3</v>
      </c>
      <c r="H32" s="93" t="n">
        <v>9.5</v>
      </c>
      <c r="I32" s="93" t="n">
        <v>7.6</v>
      </c>
      <c r="J32" s="93" t="n">
        <v>7.8</v>
      </c>
      <c r="K32" s="93" t="n">
        <v>9.1</v>
      </c>
      <c r="L32" s="93" t="n">
        <v>7.8</v>
      </c>
      <c r="M32" s="93" t="n">
        <v>7.8</v>
      </c>
      <c r="N32" s="93" t="n">
        <v>8.7</v>
      </c>
      <c r="O32" s="93" t="n">
        <v>8.3</v>
      </c>
      <c r="P32" s="93" t="n">
        <v>7.7</v>
      </c>
      <c r="Q32" s="93" t="n">
        <f aca="false">AVERAGE(E32:P32)</f>
        <v>8.31666666666667</v>
      </c>
      <c r="R32" s="94" t="str">
        <f aca="false">IF(Q32&lt;8,"⚠ Below 8 Hrs","")</f>
        <v/>
      </c>
    </row>
    <row r="33" customFormat="false" ht="15.75" hidden="false" customHeight="true" outlineLevel="0" collapsed="false">
      <c r="A33" s="77" t="s">
        <v>92</v>
      </c>
      <c r="B33" s="77" t="s">
        <v>229</v>
      </c>
      <c r="C33" s="77" t="s">
        <v>37</v>
      </c>
      <c r="D33" s="77" t="s">
        <v>56</v>
      </c>
      <c r="E33" s="91" t="n">
        <v>9</v>
      </c>
      <c r="F33" s="91" t="n">
        <v>8.8</v>
      </c>
      <c r="G33" s="91" t="n">
        <v>8.3</v>
      </c>
      <c r="H33" s="91" t="n">
        <v>8.2</v>
      </c>
      <c r="I33" s="91" t="n">
        <v>9.7</v>
      </c>
      <c r="J33" s="91" t="n">
        <v>9.2</v>
      </c>
      <c r="K33" s="91" t="n">
        <v>8.5</v>
      </c>
      <c r="L33" s="91" t="n">
        <v>9</v>
      </c>
      <c r="M33" s="91" t="n">
        <v>8.6</v>
      </c>
      <c r="N33" s="91" t="n">
        <v>8.2</v>
      </c>
      <c r="O33" s="91" t="n">
        <v>9.1</v>
      </c>
      <c r="P33" s="91" t="n">
        <v>8.8</v>
      </c>
      <c r="Q33" s="91" t="n">
        <f aca="false">AVERAGE(E33:P33)</f>
        <v>8.78333333333333</v>
      </c>
      <c r="R33" s="92" t="str">
        <f aca="false">IF(Q33&lt;8,"⚠ Below 8 Hrs","")</f>
        <v/>
      </c>
    </row>
    <row r="34" customFormat="false" ht="15.75" hidden="false" customHeight="true" outlineLevel="0" collapsed="false">
      <c r="A34" s="75" t="s">
        <v>230</v>
      </c>
      <c r="B34" s="75" t="s">
        <v>231</v>
      </c>
      <c r="C34" s="75" t="s">
        <v>43</v>
      </c>
      <c r="D34" s="75" t="s">
        <v>56</v>
      </c>
      <c r="E34" s="93" t="n">
        <v>8.9</v>
      </c>
      <c r="F34" s="93" t="n">
        <v>8.3</v>
      </c>
      <c r="G34" s="93" t="n">
        <v>9</v>
      </c>
      <c r="H34" s="93" t="n">
        <v>9.4</v>
      </c>
      <c r="I34" s="93" t="n">
        <v>8.4</v>
      </c>
      <c r="J34" s="93" t="n">
        <v>9.2</v>
      </c>
      <c r="K34" s="93" t="n">
        <v>8.2</v>
      </c>
      <c r="L34" s="93" t="n">
        <v>7.9</v>
      </c>
      <c r="M34" s="93" t="n">
        <v>7.5</v>
      </c>
      <c r="N34" s="93" t="n">
        <v>9.1</v>
      </c>
      <c r="O34" s="93" t="n">
        <v>8.8</v>
      </c>
      <c r="P34" s="93" t="n">
        <v>9.5</v>
      </c>
      <c r="Q34" s="93" t="n">
        <f aca="false">AVERAGE(E34:P34)</f>
        <v>8.68333333333333</v>
      </c>
      <c r="R34" s="94" t="str">
        <f aca="false">IF(Q34&lt;8,"⚠ Below 8 Hrs","")</f>
        <v/>
      </c>
    </row>
    <row r="35" customFormat="false" ht="15.75" hidden="false" customHeight="true" outlineLevel="0" collapsed="false">
      <c r="A35" s="77" t="s">
        <v>232</v>
      </c>
      <c r="B35" s="77" t="s">
        <v>233</v>
      </c>
      <c r="C35" s="77" t="s">
        <v>39</v>
      </c>
      <c r="D35" s="77" t="s">
        <v>56</v>
      </c>
      <c r="E35" s="91" t="n">
        <v>8.8</v>
      </c>
      <c r="F35" s="91" t="n">
        <v>7.9</v>
      </c>
      <c r="G35" s="91" t="n">
        <v>8.2</v>
      </c>
      <c r="H35" s="91" t="n">
        <v>9.4</v>
      </c>
      <c r="I35" s="91" t="n">
        <v>8.9</v>
      </c>
      <c r="J35" s="91" t="n">
        <v>9</v>
      </c>
      <c r="K35" s="91" t="n">
        <v>7.7</v>
      </c>
      <c r="L35" s="91" t="n">
        <v>8.6</v>
      </c>
      <c r="M35" s="91" t="n">
        <v>8.3</v>
      </c>
      <c r="N35" s="91" t="n">
        <v>7.7</v>
      </c>
      <c r="O35" s="91" t="n">
        <v>8.3</v>
      </c>
      <c r="P35" s="91" t="n">
        <v>8.2</v>
      </c>
      <c r="Q35" s="91" t="n">
        <f aca="false">AVERAGE(E35:P35)</f>
        <v>8.41666666666667</v>
      </c>
      <c r="R35" s="92" t="str">
        <f aca="false">IF(Q35&lt;8,"⚠ Below 8 Hrs","")</f>
        <v/>
      </c>
    </row>
    <row r="36" customFormat="false" ht="15.75" hidden="false" customHeight="true" outlineLevel="0" collapsed="false">
      <c r="A36" s="75" t="s">
        <v>234</v>
      </c>
      <c r="B36" s="75" t="s">
        <v>235</v>
      </c>
      <c r="C36" s="75" t="s">
        <v>41</v>
      </c>
      <c r="D36" s="75" t="s">
        <v>56</v>
      </c>
      <c r="E36" s="93" t="n">
        <v>9.7</v>
      </c>
      <c r="F36" s="93" t="n">
        <v>9.4</v>
      </c>
      <c r="G36" s="93" t="n">
        <v>9</v>
      </c>
      <c r="H36" s="93" t="n">
        <v>9.2</v>
      </c>
      <c r="I36" s="93" t="n">
        <v>8.3</v>
      </c>
      <c r="J36" s="93" t="n">
        <v>7.5</v>
      </c>
      <c r="K36" s="93" t="n">
        <v>8</v>
      </c>
      <c r="L36" s="93" t="n">
        <v>9.1</v>
      </c>
      <c r="M36" s="93" t="n">
        <v>8.3</v>
      </c>
      <c r="N36" s="93" t="n">
        <v>9.3</v>
      </c>
      <c r="O36" s="93" t="n">
        <v>9.2</v>
      </c>
      <c r="P36" s="93" t="n">
        <v>7.6</v>
      </c>
      <c r="Q36" s="93" t="n">
        <f aca="false">AVERAGE(E36:P36)</f>
        <v>8.71666666666667</v>
      </c>
      <c r="R36" s="94" t="str">
        <f aca="false">IF(Q36&lt;8,"⚠ Below 8 Hrs","")</f>
        <v/>
      </c>
    </row>
    <row r="37" customFormat="false" ht="15.75" hidden="false" customHeight="true" outlineLevel="0" collapsed="false">
      <c r="A37" s="77" t="s">
        <v>236</v>
      </c>
      <c r="B37" s="77" t="s">
        <v>237</v>
      </c>
      <c r="C37" s="77" t="s">
        <v>37</v>
      </c>
      <c r="D37" s="77" t="s">
        <v>56</v>
      </c>
      <c r="E37" s="91" t="n">
        <v>8.5</v>
      </c>
      <c r="F37" s="91" t="n">
        <v>7.9</v>
      </c>
      <c r="G37" s="91" t="n">
        <v>8.5</v>
      </c>
      <c r="H37" s="91" t="n">
        <v>9.5</v>
      </c>
      <c r="I37" s="91" t="n">
        <v>8.3</v>
      </c>
      <c r="J37" s="91" t="n">
        <v>8.4</v>
      </c>
      <c r="K37" s="91" t="n">
        <v>9.4</v>
      </c>
      <c r="L37" s="91" t="n">
        <v>9.3</v>
      </c>
      <c r="M37" s="91" t="n">
        <v>8.8</v>
      </c>
      <c r="N37" s="91" t="n">
        <v>9.2</v>
      </c>
      <c r="O37" s="91" t="n">
        <v>8</v>
      </c>
      <c r="P37" s="91" t="n">
        <v>8.5</v>
      </c>
      <c r="Q37" s="91" t="n">
        <f aca="false">AVERAGE(E37:P37)</f>
        <v>8.69166666666667</v>
      </c>
      <c r="R37" s="92" t="str">
        <f aca="false">IF(Q37&lt;8,"⚠ Below 8 Hrs","")</f>
        <v/>
      </c>
    </row>
    <row r="38" customFormat="false" ht="15.75" hidden="false" customHeight="true" outlineLevel="0" collapsed="false">
      <c r="A38" s="75" t="s">
        <v>71</v>
      </c>
      <c r="B38" s="75" t="s">
        <v>239</v>
      </c>
      <c r="C38" s="75" t="s">
        <v>35</v>
      </c>
      <c r="D38" s="75" t="s">
        <v>56</v>
      </c>
      <c r="E38" s="93" t="n">
        <v>7.6</v>
      </c>
      <c r="F38" s="93" t="n">
        <v>7.5</v>
      </c>
      <c r="G38" s="93" t="n">
        <v>8.1</v>
      </c>
      <c r="H38" s="93" t="n">
        <v>7.7</v>
      </c>
      <c r="I38" s="93" t="n">
        <v>8.3</v>
      </c>
      <c r="J38" s="93" t="n">
        <v>9.5</v>
      </c>
      <c r="K38" s="93" t="n">
        <v>7.9</v>
      </c>
      <c r="L38" s="93" t="n">
        <v>7.7</v>
      </c>
      <c r="M38" s="93" t="n">
        <v>9.7</v>
      </c>
      <c r="N38" s="93" t="n">
        <v>9.7</v>
      </c>
      <c r="O38" s="93" t="n">
        <v>8.3</v>
      </c>
      <c r="P38" s="93" t="n">
        <v>9.8</v>
      </c>
      <c r="Q38" s="93" t="n">
        <f aca="false">AVERAGE(E38:P38)</f>
        <v>8.48333333333333</v>
      </c>
      <c r="R38" s="94" t="str">
        <f aca="false">IF(Q38&lt;8,"⚠ Below 8 Hrs","")</f>
        <v/>
      </c>
    </row>
    <row r="39" customFormat="false" ht="15.75" hidden="false" customHeight="true" outlineLevel="0" collapsed="false">
      <c r="A39" s="77" t="s">
        <v>240</v>
      </c>
      <c r="B39" s="77" t="s">
        <v>206</v>
      </c>
      <c r="C39" s="77" t="s">
        <v>41</v>
      </c>
      <c r="D39" s="77" t="s">
        <v>56</v>
      </c>
      <c r="E39" s="91" t="n">
        <v>9.1</v>
      </c>
      <c r="F39" s="91" t="n">
        <v>8.5</v>
      </c>
      <c r="G39" s="91" t="n">
        <v>9</v>
      </c>
      <c r="H39" s="91" t="n">
        <v>8.9</v>
      </c>
      <c r="I39" s="91" t="n">
        <v>8.5</v>
      </c>
      <c r="J39" s="91" t="n">
        <v>7.6</v>
      </c>
      <c r="K39" s="91" t="n">
        <v>8.3</v>
      </c>
      <c r="L39" s="91" t="n">
        <v>9.7</v>
      </c>
      <c r="M39" s="91" t="n">
        <v>8.4</v>
      </c>
      <c r="N39" s="91" t="n">
        <v>8.8</v>
      </c>
      <c r="O39" s="91" t="n">
        <v>9.6</v>
      </c>
      <c r="P39" s="91" t="n">
        <v>8.7</v>
      </c>
      <c r="Q39" s="91" t="n">
        <f aca="false">AVERAGE(E39:P39)</f>
        <v>8.75833333333333</v>
      </c>
      <c r="R39" s="92" t="str">
        <f aca="false">IF(Q39&lt;8,"⚠ Below 8 Hrs","")</f>
        <v/>
      </c>
    </row>
    <row r="40" customFormat="false" ht="15.75" hidden="false" customHeight="true" outlineLevel="0" collapsed="false">
      <c r="A40" s="75" t="s">
        <v>242</v>
      </c>
      <c r="B40" s="75" t="s">
        <v>243</v>
      </c>
      <c r="C40" s="75" t="s">
        <v>33</v>
      </c>
      <c r="D40" s="75" t="s">
        <v>56</v>
      </c>
      <c r="E40" s="93" t="n">
        <v>8.2</v>
      </c>
      <c r="F40" s="93" t="n">
        <v>7.7</v>
      </c>
      <c r="G40" s="93" t="n">
        <v>8.4</v>
      </c>
      <c r="H40" s="93" t="n">
        <v>8.8</v>
      </c>
      <c r="I40" s="93" t="n">
        <v>8.6</v>
      </c>
      <c r="J40" s="93" t="n">
        <v>7.6</v>
      </c>
      <c r="K40" s="93" t="n">
        <v>7.5</v>
      </c>
      <c r="L40" s="93" t="n">
        <v>7.7</v>
      </c>
      <c r="M40" s="93" t="n">
        <v>9.4</v>
      </c>
      <c r="N40" s="93" t="n">
        <v>8.9</v>
      </c>
      <c r="O40" s="93" t="n">
        <v>8.6</v>
      </c>
      <c r="P40" s="93" t="n">
        <v>7.7</v>
      </c>
      <c r="Q40" s="93" t="n">
        <f aca="false">AVERAGE(E40:P40)</f>
        <v>8.25833333333333</v>
      </c>
      <c r="R40" s="94" t="str">
        <f aca="false">IF(Q40&lt;8,"⚠ Below 8 Hrs","")</f>
        <v/>
      </c>
    </row>
    <row r="41" customFormat="false" ht="15.75" hidden="false" customHeight="true" outlineLevel="0" collapsed="false">
      <c r="A41" s="77" t="s">
        <v>84</v>
      </c>
      <c r="B41" s="77" t="s">
        <v>244</v>
      </c>
      <c r="C41" s="77" t="s">
        <v>35</v>
      </c>
      <c r="D41" s="77" t="s">
        <v>56</v>
      </c>
      <c r="E41" s="91" t="n">
        <v>9</v>
      </c>
      <c r="F41" s="91" t="n">
        <v>9.7</v>
      </c>
      <c r="G41" s="91" t="n">
        <v>8.6</v>
      </c>
      <c r="H41" s="91" t="n">
        <v>7.8</v>
      </c>
      <c r="I41" s="91" t="n">
        <v>9.3</v>
      </c>
      <c r="J41" s="91" t="n">
        <v>8.6</v>
      </c>
      <c r="K41" s="91" t="n">
        <v>9.6</v>
      </c>
      <c r="L41" s="91" t="n">
        <v>8.1</v>
      </c>
      <c r="M41" s="91" t="n">
        <v>9</v>
      </c>
      <c r="N41" s="91" t="n">
        <v>8.4</v>
      </c>
      <c r="O41" s="91" t="n">
        <v>8.4</v>
      </c>
      <c r="P41" s="91" t="n">
        <v>8.4</v>
      </c>
      <c r="Q41" s="91" t="n">
        <f aca="false">AVERAGE(E41:P41)</f>
        <v>8.74166666666667</v>
      </c>
      <c r="R41" s="92" t="str">
        <f aca="false">IF(Q41&lt;8,"⚠ Below 8 Hrs","")</f>
        <v/>
      </c>
    </row>
    <row r="42" customFormat="false" ht="15.75" hidden="false" customHeight="true" outlineLevel="0" collapsed="false">
      <c r="A42" s="88" t="s">
        <v>89</v>
      </c>
      <c r="B42" s="88" t="s">
        <v>246</v>
      </c>
      <c r="C42" s="88" t="s">
        <v>33</v>
      </c>
      <c r="D42" s="88" t="s">
        <v>56</v>
      </c>
      <c r="E42" s="89" t="n">
        <v>6.1</v>
      </c>
      <c r="F42" s="89" t="n">
        <v>7.1</v>
      </c>
      <c r="G42" s="89" t="n">
        <v>6.7</v>
      </c>
      <c r="H42" s="89" t="n">
        <v>8.1</v>
      </c>
      <c r="I42" s="89" t="n">
        <v>7.4</v>
      </c>
      <c r="J42" s="89" t="n">
        <v>6.4</v>
      </c>
      <c r="K42" s="89" t="n">
        <v>7.7</v>
      </c>
      <c r="L42" s="89" t="n">
        <v>6.2</v>
      </c>
      <c r="M42" s="89" t="n">
        <v>7.7</v>
      </c>
      <c r="N42" s="89" t="n">
        <v>8</v>
      </c>
      <c r="O42" s="89" t="n">
        <v>7</v>
      </c>
      <c r="P42" s="89" t="n">
        <v>7.9</v>
      </c>
      <c r="Q42" s="89" t="n">
        <f aca="false">AVERAGE(E42:P42)</f>
        <v>7.19166666666667</v>
      </c>
      <c r="R42" s="90" t="str">
        <f aca="false">IF(Q42&lt;8,"⚠ Below 8 Hrs","")</f>
        <v>⚠ Below 8 Hrs</v>
      </c>
    </row>
    <row r="43" customFormat="false" ht="15.75" hidden="false" customHeight="true" outlineLevel="0" collapsed="false">
      <c r="A43" s="77" t="s">
        <v>248</v>
      </c>
      <c r="B43" s="77" t="s">
        <v>249</v>
      </c>
      <c r="C43" s="77" t="s">
        <v>35</v>
      </c>
      <c r="D43" s="77" t="s">
        <v>56</v>
      </c>
      <c r="E43" s="91" t="n">
        <v>7.6</v>
      </c>
      <c r="F43" s="91" t="n">
        <v>8.4</v>
      </c>
      <c r="G43" s="91" t="n">
        <v>8.7</v>
      </c>
      <c r="H43" s="91" t="n">
        <v>9.7</v>
      </c>
      <c r="I43" s="91" t="n">
        <v>9.1</v>
      </c>
      <c r="J43" s="91" t="n">
        <v>9.7</v>
      </c>
      <c r="K43" s="91" t="n">
        <v>8.8</v>
      </c>
      <c r="L43" s="91" t="n">
        <v>8</v>
      </c>
      <c r="M43" s="91" t="n">
        <v>8.2</v>
      </c>
      <c r="N43" s="91" t="n">
        <v>8.4</v>
      </c>
      <c r="O43" s="91" t="n">
        <v>9.5</v>
      </c>
      <c r="P43" s="91" t="n">
        <v>7.6</v>
      </c>
      <c r="Q43" s="91" t="n">
        <f aca="false">AVERAGE(E43:P43)</f>
        <v>8.64166666666667</v>
      </c>
      <c r="R43" s="92" t="str">
        <f aca="false">IF(Q43&lt;8,"⚠ Below 8 Hrs","")</f>
        <v/>
      </c>
    </row>
    <row r="44" customFormat="false" ht="15.75" hidden="false" customHeight="true" outlineLevel="0" collapsed="false">
      <c r="A44" s="75" t="s">
        <v>81</v>
      </c>
      <c r="B44" s="75" t="s">
        <v>250</v>
      </c>
      <c r="C44" s="75" t="s">
        <v>42</v>
      </c>
      <c r="D44" s="75" t="s">
        <v>56</v>
      </c>
      <c r="E44" s="93" t="n">
        <v>8.7</v>
      </c>
      <c r="F44" s="93" t="n">
        <v>8.8</v>
      </c>
      <c r="G44" s="93" t="n">
        <v>9.8</v>
      </c>
      <c r="H44" s="93" t="n">
        <v>7.8</v>
      </c>
      <c r="I44" s="93" t="n">
        <v>9.7</v>
      </c>
      <c r="J44" s="93" t="n">
        <v>8.5</v>
      </c>
      <c r="K44" s="93" t="n">
        <v>9.7</v>
      </c>
      <c r="L44" s="93" t="n">
        <v>7.9</v>
      </c>
      <c r="M44" s="93" t="n">
        <v>8</v>
      </c>
      <c r="N44" s="93" t="n">
        <v>7.9</v>
      </c>
      <c r="O44" s="93" t="n">
        <v>7.6</v>
      </c>
      <c r="P44" s="93" t="n">
        <v>7.7</v>
      </c>
      <c r="Q44" s="93" t="n">
        <f aca="false">AVERAGE(E44:P44)</f>
        <v>8.50833333333333</v>
      </c>
      <c r="R44" s="94" t="str">
        <f aca="false">IF(Q44&lt;8,"⚠ Below 8 Hrs","")</f>
        <v/>
      </c>
    </row>
    <row r="45" customFormat="false" ht="15.75" hidden="false" customHeight="true" outlineLevel="0" collapsed="false">
      <c r="A45" s="77" t="s">
        <v>251</v>
      </c>
      <c r="B45" s="77" t="s">
        <v>252</v>
      </c>
      <c r="C45" s="77" t="s">
        <v>39</v>
      </c>
      <c r="D45" s="77" t="s">
        <v>56</v>
      </c>
      <c r="E45" s="91" t="n">
        <v>8</v>
      </c>
      <c r="F45" s="91" t="n">
        <v>9.4</v>
      </c>
      <c r="G45" s="91" t="n">
        <v>7.8</v>
      </c>
      <c r="H45" s="91" t="n">
        <v>8.9</v>
      </c>
      <c r="I45" s="91" t="n">
        <v>8.2</v>
      </c>
      <c r="J45" s="91" t="n">
        <v>9.2</v>
      </c>
      <c r="K45" s="91" t="n">
        <v>9.4</v>
      </c>
      <c r="L45" s="91" t="n">
        <v>7.7</v>
      </c>
      <c r="M45" s="91" t="n">
        <v>8.8</v>
      </c>
      <c r="N45" s="91" t="n">
        <v>8.8</v>
      </c>
      <c r="O45" s="91" t="n">
        <v>9.5</v>
      </c>
      <c r="P45" s="91" t="n">
        <v>8.7</v>
      </c>
      <c r="Q45" s="91" t="n">
        <f aca="false">AVERAGE(E45:P45)</f>
        <v>8.7</v>
      </c>
      <c r="R45" s="92" t="str">
        <f aca="false">IF(Q45&lt;8,"⚠ Below 8 Hrs","")</f>
        <v/>
      </c>
    </row>
    <row r="46" customFormat="false" ht="15.75" hidden="false" customHeight="true" outlineLevel="0" collapsed="false">
      <c r="A46" s="75" t="s">
        <v>253</v>
      </c>
      <c r="B46" s="75" t="s">
        <v>254</v>
      </c>
      <c r="C46" s="75" t="s">
        <v>42</v>
      </c>
      <c r="D46" s="75" t="s">
        <v>56</v>
      </c>
      <c r="E46" s="93" t="n">
        <v>7.5</v>
      </c>
      <c r="F46" s="93" t="n">
        <v>9.1</v>
      </c>
      <c r="G46" s="93" t="n">
        <v>8.9</v>
      </c>
      <c r="H46" s="93" t="n">
        <v>9.3</v>
      </c>
      <c r="I46" s="93" t="n">
        <v>7.8</v>
      </c>
      <c r="J46" s="93" t="n">
        <v>7.8</v>
      </c>
      <c r="K46" s="93" t="n">
        <v>8.8</v>
      </c>
      <c r="L46" s="93" t="n">
        <v>8.8</v>
      </c>
      <c r="M46" s="93" t="n">
        <v>9.7</v>
      </c>
      <c r="N46" s="93" t="n">
        <v>7.7</v>
      </c>
      <c r="O46" s="93" t="n">
        <v>7.7</v>
      </c>
      <c r="P46" s="93" t="n">
        <v>9.3</v>
      </c>
      <c r="Q46" s="93" t="n">
        <f aca="false">AVERAGE(E46:P46)</f>
        <v>8.53333333333333</v>
      </c>
      <c r="R46" s="94" t="str">
        <f aca="false">IF(Q46&lt;8,"⚠ Below 8 Hrs","")</f>
        <v/>
      </c>
    </row>
    <row r="47" customFormat="false" ht="15.75" hidden="false" customHeight="true" outlineLevel="0" collapsed="false">
      <c r="A47" s="77" t="s">
        <v>57</v>
      </c>
      <c r="B47" s="77" t="s">
        <v>256</v>
      </c>
      <c r="C47" s="77" t="s">
        <v>39</v>
      </c>
      <c r="D47" s="77" t="s">
        <v>56</v>
      </c>
      <c r="E47" s="91" t="n">
        <v>9.5</v>
      </c>
      <c r="F47" s="91" t="n">
        <v>9.5</v>
      </c>
      <c r="G47" s="91" t="n">
        <v>9.5</v>
      </c>
      <c r="H47" s="91" t="n">
        <v>8.1</v>
      </c>
      <c r="I47" s="91" t="n">
        <v>9</v>
      </c>
      <c r="J47" s="91" t="n">
        <v>8.8</v>
      </c>
      <c r="K47" s="91" t="n">
        <v>8.6</v>
      </c>
      <c r="L47" s="91" t="n">
        <v>7.9</v>
      </c>
      <c r="M47" s="91" t="n">
        <v>8.4</v>
      </c>
      <c r="N47" s="91" t="n">
        <v>8.9</v>
      </c>
      <c r="O47" s="91" t="n">
        <v>9.1</v>
      </c>
      <c r="P47" s="91" t="n">
        <v>8.4</v>
      </c>
      <c r="Q47" s="91" t="n">
        <f aca="false">AVERAGE(E47:P47)</f>
        <v>8.80833333333333</v>
      </c>
      <c r="R47" s="92" t="str">
        <f aca="false">IF(Q47&lt;8,"⚠ Below 8 Hrs","")</f>
        <v/>
      </c>
    </row>
    <row r="48" customFormat="false" ht="15.75" hidden="false" customHeight="true" outlineLevel="0" collapsed="false">
      <c r="A48" s="75" t="s">
        <v>74</v>
      </c>
      <c r="B48" s="75" t="s">
        <v>258</v>
      </c>
      <c r="C48" s="75" t="s">
        <v>37</v>
      </c>
      <c r="D48" s="75" t="s">
        <v>56</v>
      </c>
      <c r="E48" s="93" t="n">
        <v>9.5</v>
      </c>
      <c r="F48" s="93" t="n">
        <v>9.1</v>
      </c>
      <c r="G48" s="93" t="n">
        <v>7.6</v>
      </c>
      <c r="H48" s="93" t="n">
        <v>8.6</v>
      </c>
      <c r="I48" s="93" t="n">
        <v>8.1</v>
      </c>
      <c r="J48" s="93" t="n">
        <v>8.4</v>
      </c>
      <c r="K48" s="93" t="n">
        <v>8.3</v>
      </c>
      <c r="L48" s="93" t="n">
        <v>9.3</v>
      </c>
      <c r="M48" s="93" t="n">
        <v>8.2</v>
      </c>
      <c r="N48" s="93" t="n">
        <v>9.4</v>
      </c>
      <c r="O48" s="93" t="n">
        <v>9.5</v>
      </c>
      <c r="P48" s="93" t="n">
        <v>9.1</v>
      </c>
      <c r="Q48" s="93" t="n">
        <f aca="false">AVERAGE(E48:P48)</f>
        <v>8.75833333333333</v>
      </c>
      <c r="R48" s="94" t="str">
        <f aca="false">IF(Q48&lt;8,"⚠ Below 8 Hrs","")</f>
        <v/>
      </c>
    </row>
    <row r="49" customFormat="false" ht="15.75" hidden="false" customHeight="true" outlineLevel="0" collapsed="false">
      <c r="A49" s="77" t="s">
        <v>58</v>
      </c>
      <c r="B49" s="77" t="s">
        <v>259</v>
      </c>
      <c r="C49" s="77" t="s">
        <v>42</v>
      </c>
      <c r="D49" s="77" t="s">
        <v>56</v>
      </c>
      <c r="E49" s="91" t="n">
        <v>8</v>
      </c>
      <c r="F49" s="91" t="n">
        <v>8.2</v>
      </c>
      <c r="G49" s="91" t="n">
        <v>9.2</v>
      </c>
      <c r="H49" s="91" t="n">
        <v>9.3</v>
      </c>
      <c r="I49" s="91" t="n">
        <v>8.2</v>
      </c>
      <c r="J49" s="91" t="n">
        <v>9.2</v>
      </c>
      <c r="K49" s="91" t="n">
        <v>8.9</v>
      </c>
      <c r="L49" s="91" t="n">
        <v>7.7</v>
      </c>
      <c r="M49" s="91" t="n">
        <v>8.5</v>
      </c>
      <c r="N49" s="91" t="n">
        <v>9.6</v>
      </c>
      <c r="O49" s="91" t="n">
        <v>8.4</v>
      </c>
      <c r="P49" s="91" t="n">
        <v>8.6</v>
      </c>
      <c r="Q49" s="91" t="n">
        <f aca="false">AVERAGE(E49:P49)</f>
        <v>8.65</v>
      </c>
      <c r="R49" s="92" t="str">
        <f aca="false">IF(Q49&lt;8,"⚠ Below 8 Hrs","")</f>
        <v/>
      </c>
    </row>
    <row r="50" customFormat="false" ht="15.75" hidden="false" customHeight="true" outlineLevel="0" collapsed="false">
      <c r="A50" s="75" t="s">
        <v>73</v>
      </c>
      <c r="B50" s="75" t="s">
        <v>260</v>
      </c>
      <c r="C50" s="75" t="s">
        <v>42</v>
      </c>
      <c r="D50" s="75" t="s">
        <v>56</v>
      </c>
      <c r="E50" s="93" t="n">
        <v>8.4</v>
      </c>
      <c r="F50" s="93" t="n">
        <v>7.6</v>
      </c>
      <c r="G50" s="93" t="n">
        <v>9.3</v>
      </c>
      <c r="H50" s="93" t="n">
        <v>7.7</v>
      </c>
      <c r="I50" s="93" t="n">
        <v>9.1</v>
      </c>
      <c r="J50" s="93" t="n">
        <v>8.4</v>
      </c>
      <c r="K50" s="93" t="n">
        <v>9.3</v>
      </c>
      <c r="L50" s="93" t="n">
        <v>8.7</v>
      </c>
      <c r="M50" s="93" t="n">
        <v>8.8</v>
      </c>
      <c r="N50" s="93" t="n">
        <v>7.9</v>
      </c>
      <c r="O50" s="93" t="n">
        <v>9.5</v>
      </c>
      <c r="P50" s="93" t="n">
        <v>8</v>
      </c>
      <c r="Q50" s="93" t="n">
        <f aca="false">AVERAGE(E50:P50)</f>
        <v>8.55833333333333</v>
      </c>
      <c r="R50" s="94" t="str">
        <f aca="false">IF(Q50&lt;8,"⚠ Below 8 Hrs","")</f>
        <v/>
      </c>
    </row>
    <row r="51" customFormat="false" ht="15.75" hidden="false" customHeight="true" outlineLevel="0" collapsed="false">
      <c r="A51" s="88" t="s">
        <v>261</v>
      </c>
      <c r="B51" s="88" t="s">
        <v>262</v>
      </c>
      <c r="C51" s="88" t="s">
        <v>37</v>
      </c>
      <c r="D51" s="88" t="s">
        <v>56</v>
      </c>
      <c r="E51" s="89" t="n">
        <v>6.1</v>
      </c>
      <c r="F51" s="89" t="n">
        <v>6.1</v>
      </c>
      <c r="G51" s="89" t="n">
        <v>6.9</v>
      </c>
      <c r="H51" s="89" t="n">
        <v>6.5</v>
      </c>
      <c r="I51" s="89" t="n">
        <v>6.9</v>
      </c>
      <c r="J51" s="89" t="n">
        <v>7.2</v>
      </c>
      <c r="K51" s="89" t="n">
        <v>7</v>
      </c>
      <c r="L51" s="89" t="n">
        <v>8.3</v>
      </c>
      <c r="M51" s="89" t="n">
        <v>7.7</v>
      </c>
      <c r="N51" s="89" t="n">
        <v>6.6</v>
      </c>
      <c r="O51" s="89" t="n">
        <v>7.2</v>
      </c>
      <c r="P51" s="89" t="n">
        <v>7.1</v>
      </c>
      <c r="Q51" s="89" t="n">
        <f aca="false">AVERAGE(E51:P51)</f>
        <v>6.96666666666667</v>
      </c>
      <c r="R51" s="90" t="str">
        <f aca="false">IF(Q51&lt;8,"⚠ Below 8 Hrs","")</f>
        <v>⚠ Below 8 Hrs</v>
      </c>
    </row>
    <row r="52" customFormat="false" ht="15.75" hidden="false" customHeight="true" outlineLevel="0" collapsed="false">
      <c r="A52" s="75" t="s">
        <v>263</v>
      </c>
      <c r="B52" s="75" t="s">
        <v>264</v>
      </c>
      <c r="C52" s="75" t="s">
        <v>46</v>
      </c>
      <c r="D52" s="75" t="s">
        <v>56</v>
      </c>
      <c r="E52" s="93" t="n">
        <v>8.6</v>
      </c>
      <c r="F52" s="93" t="n">
        <v>8.8</v>
      </c>
      <c r="G52" s="93" t="n">
        <v>8.3</v>
      </c>
      <c r="H52" s="93" t="n">
        <v>9.4</v>
      </c>
      <c r="I52" s="93" t="n">
        <v>8.1</v>
      </c>
      <c r="J52" s="93" t="n">
        <v>9.4</v>
      </c>
      <c r="K52" s="93" t="n">
        <v>7.7</v>
      </c>
      <c r="L52" s="93" t="n">
        <v>7.6</v>
      </c>
      <c r="M52" s="93" t="n">
        <v>7.6</v>
      </c>
      <c r="N52" s="93" t="n">
        <v>9.5</v>
      </c>
      <c r="O52" s="93" t="n">
        <v>9.3</v>
      </c>
      <c r="P52" s="93" t="n">
        <v>8</v>
      </c>
      <c r="Q52" s="93" t="n">
        <f aca="false">AVERAGE(E52:P52)</f>
        <v>8.525</v>
      </c>
      <c r="R52" s="94" t="str">
        <f aca="false">IF(Q52&lt;8,"⚠ Below 8 Hrs","")</f>
        <v/>
      </c>
    </row>
    <row r="53" customFormat="false" ht="15.75" hidden="false" customHeight="true" outlineLevel="0" collapsed="false">
      <c r="A53" s="77" t="s">
        <v>266</v>
      </c>
      <c r="B53" s="77" t="s">
        <v>267</v>
      </c>
      <c r="C53" s="77" t="s">
        <v>35</v>
      </c>
      <c r="D53" s="77" t="s">
        <v>56</v>
      </c>
      <c r="E53" s="91" t="n">
        <v>8</v>
      </c>
      <c r="F53" s="91" t="n">
        <v>8</v>
      </c>
      <c r="G53" s="91" t="n">
        <v>9</v>
      </c>
      <c r="H53" s="91" t="n">
        <v>8.7</v>
      </c>
      <c r="I53" s="91" t="n">
        <v>9.5</v>
      </c>
      <c r="J53" s="91" t="n">
        <v>9.7</v>
      </c>
      <c r="K53" s="91" t="n">
        <v>9.1</v>
      </c>
      <c r="L53" s="91" t="n">
        <v>8.6</v>
      </c>
      <c r="M53" s="91" t="n">
        <v>7.8</v>
      </c>
      <c r="N53" s="91" t="n">
        <v>7.9</v>
      </c>
      <c r="O53" s="91" t="n">
        <v>9.3</v>
      </c>
      <c r="P53" s="91" t="n">
        <v>8</v>
      </c>
      <c r="Q53" s="91" t="n">
        <f aca="false">AVERAGE(E53:P53)</f>
        <v>8.63333333333333</v>
      </c>
      <c r="R53" s="92" t="str">
        <f aca="false">IF(Q53&lt;8,"⚠ Below 8 Hrs","")</f>
        <v/>
      </c>
    </row>
    <row r="54" customFormat="false" ht="15.75" hidden="false" customHeight="true" outlineLevel="0" collapsed="false">
      <c r="A54" s="75" t="s">
        <v>268</v>
      </c>
      <c r="B54" s="75" t="s">
        <v>269</v>
      </c>
      <c r="C54" s="75" t="s">
        <v>39</v>
      </c>
      <c r="D54" s="75" t="s">
        <v>56</v>
      </c>
      <c r="E54" s="93" t="n">
        <v>9.7</v>
      </c>
      <c r="F54" s="93" t="n">
        <v>9.1</v>
      </c>
      <c r="G54" s="93" t="n">
        <v>9.1</v>
      </c>
      <c r="H54" s="93" t="n">
        <v>8.1</v>
      </c>
      <c r="I54" s="93" t="n">
        <v>9.6</v>
      </c>
      <c r="J54" s="93" t="n">
        <v>9.5</v>
      </c>
      <c r="K54" s="93" t="n">
        <v>8.6</v>
      </c>
      <c r="L54" s="93" t="n">
        <v>8</v>
      </c>
      <c r="M54" s="93" t="n">
        <v>8.2</v>
      </c>
      <c r="N54" s="93" t="n">
        <v>8.7</v>
      </c>
      <c r="O54" s="93" t="n">
        <v>8.9</v>
      </c>
      <c r="P54" s="93" t="n">
        <v>8.8</v>
      </c>
      <c r="Q54" s="93" t="n">
        <f aca="false">AVERAGE(E54:P54)</f>
        <v>8.85833333333333</v>
      </c>
      <c r="R54" s="94" t="str">
        <f aca="false">IF(Q54&lt;8,"⚠ Below 8 Hrs","")</f>
        <v/>
      </c>
    </row>
    <row r="55" customFormat="false" ht="15.75" hidden="false" customHeight="true" outlineLevel="0" collapsed="false">
      <c r="A55" s="88" t="s">
        <v>270</v>
      </c>
      <c r="B55" s="88" t="s">
        <v>271</v>
      </c>
      <c r="C55" s="88" t="s">
        <v>41</v>
      </c>
      <c r="D55" s="88" t="s">
        <v>56</v>
      </c>
      <c r="E55" s="89" t="n">
        <v>8.5</v>
      </c>
      <c r="F55" s="89" t="n">
        <v>8.4</v>
      </c>
      <c r="G55" s="89" t="n">
        <v>8.1</v>
      </c>
      <c r="H55" s="89" t="n">
        <v>7.4</v>
      </c>
      <c r="I55" s="89" t="n">
        <v>7.5</v>
      </c>
      <c r="J55" s="89" t="n">
        <v>6.7</v>
      </c>
      <c r="K55" s="89" t="n">
        <v>7.7</v>
      </c>
      <c r="L55" s="89" t="n">
        <v>7.2</v>
      </c>
      <c r="M55" s="89" t="n">
        <v>6.8</v>
      </c>
      <c r="N55" s="89" t="n">
        <v>6.7</v>
      </c>
      <c r="O55" s="89" t="n">
        <v>6.8</v>
      </c>
      <c r="P55" s="89" t="n">
        <v>6.7</v>
      </c>
      <c r="Q55" s="89" t="n">
        <f aca="false">AVERAGE(E55:P55)</f>
        <v>7.375</v>
      </c>
      <c r="R55" s="90" t="str">
        <f aca="false">IF(Q55&lt;8,"⚠ Below 8 Hrs","")</f>
        <v>⚠ Below 8 Hrs</v>
      </c>
    </row>
    <row r="56" customFormat="false" ht="15.75" hidden="false" customHeight="true" outlineLevel="0" collapsed="false">
      <c r="A56" s="75" t="s">
        <v>59</v>
      </c>
      <c r="B56" s="75" t="s">
        <v>272</v>
      </c>
      <c r="C56" s="75" t="s">
        <v>41</v>
      </c>
      <c r="D56" s="75" t="s">
        <v>56</v>
      </c>
      <c r="E56" s="93" t="n">
        <v>9.7</v>
      </c>
      <c r="F56" s="93" t="n">
        <v>9</v>
      </c>
      <c r="G56" s="93" t="n">
        <v>7.9</v>
      </c>
      <c r="H56" s="93" t="n">
        <v>8.7</v>
      </c>
      <c r="I56" s="93" t="n">
        <v>8.1</v>
      </c>
      <c r="J56" s="93" t="n">
        <v>7.6</v>
      </c>
      <c r="K56" s="93" t="n">
        <v>9.5</v>
      </c>
      <c r="L56" s="93" t="n">
        <v>9.4</v>
      </c>
      <c r="M56" s="93" t="n">
        <v>8.4</v>
      </c>
      <c r="N56" s="93" t="n">
        <v>8.2</v>
      </c>
      <c r="O56" s="93" t="n">
        <v>7.8</v>
      </c>
      <c r="P56" s="93" t="n">
        <v>7.6</v>
      </c>
      <c r="Q56" s="93" t="n">
        <f aca="false">AVERAGE(E56:P56)</f>
        <v>8.49166666666667</v>
      </c>
      <c r="R56" s="94" t="str">
        <f aca="false">IF(Q56&lt;8,"⚠ Below 8 Hrs","")</f>
        <v/>
      </c>
    </row>
    <row r="57" customFormat="false" ht="15.75" hidden="false" customHeight="true" outlineLevel="0" collapsed="false">
      <c r="A57" s="77" t="s">
        <v>273</v>
      </c>
      <c r="B57" s="77" t="s">
        <v>274</v>
      </c>
      <c r="C57" s="77" t="s">
        <v>43</v>
      </c>
      <c r="D57" s="77" t="s">
        <v>56</v>
      </c>
      <c r="E57" s="91" t="n">
        <v>8.2</v>
      </c>
      <c r="F57" s="91" t="n">
        <v>9.6</v>
      </c>
      <c r="G57" s="91" t="n">
        <v>8.4</v>
      </c>
      <c r="H57" s="91" t="n">
        <v>9.2</v>
      </c>
      <c r="I57" s="91" t="n">
        <v>8.8</v>
      </c>
      <c r="J57" s="91" t="n">
        <v>9.8</v>
      </c>
      <c r="K57" s="91" t="n">
        <v>9.4</v>
      </c>
      <c r="L57" s="91" t="n">
        <v>8.3</v>
      </c>
      <c r="M57" s="91" t="n">
        <v>9.1</v>
      </c>
      <c r="N57" s="91" t="n">
        <v>9.1</v>
      </c>
      <c r="O57" s="91" t="n">
        <v>9</v>
      </c>
      <c r="P57" s="91" t="n">
        <v>8.6</v>
      </c>
      <c r="Q57" s="91" t="n">
        <f aca="false">AVERAGE(E57:P57)</f>
        <v>8.95833333333333</v>
      </c>
      <c r="R57" s="92" t="str">
        <f aca="false">IF(Q57&lt;8,"⚠ Below 8 Hrs","")</f>
        <v/>
      </c>
    </row>
    <row r="58" customFormat="false" ht="15.75" hidden="false" customHeight="true" outlineLevel="0" collapsed="false">
      <c r="A58" s="75" t="s">
        <v>60</v>
      </c>
      <c r="B58" s="75" t="s">
        <v>275</v>
      </c>
      <c r="C58" s="75" t="s">
        <v>35</v>
      </c>
      <c r="D58" s="75" t="s">
        <v>56</v>
      </c>
      <c r="E58" s="93" t="n">
        <v>8.3</v>
      </c>
      <c r="F58" s="93" t="n">
        <v>8.2</v>
      </c>
      <c r="G58" s="93" t="n">
        <v>7.9</v>
      </c>
      <c r="H58" s="93" t="n">
        <v>9</v>
      </c>
      <c r="I58" s="93" t="n">
        <v>8.8</v>
      </c>
      <c r="J58" s="93" t="n">
        <v>8.2</v>
      </c>
      <c r="K58" s="93" t="n">
        <v>8.6</v>
      </c>
      <c r="L58" s="93" t="n">
        <v>9.2</v>
      </c>
      <c r="M58" s="93" t="n">
        <v>9.2</v>
      </c>
      <c r="N58" s="93" t="n">
        <v>8.8</v>
      </c>
      <c r="O58" s="93" t="n">
        <v>9.6</v>
      </c>
      <c r="P58" s="93" t="n">
        <v>9.7</v>
      </c>
      <c r="Q58" s="93" t="n">
        <f aca="false">AVERAGE(E58:P58)</f>
        <v>8.79166666666667</v>
      </c>
      <c r="R58" s="94" t="str">
        <f aca="false">IF(Q58&lt;8,"⚠ Below 8 Hrs","")</f>
        <v/>
      </c>
    </row>
    <row r="59" customFormat="false" ht="15.75" hidden="false" customHeight="true" outlineLevel="0" collapsed="false">
      <c r="A59" s="77" t="s">
        <v>276</v>
      </c>
      <c r="B59" s="77" t="s">
        <v>277</v>
      </c>
      <c r="C59" s="77" t="s">
        <v>46</v>
      </c>
      <c r="D59" s="77" t="s">
        <v>56</v>
      </c>
      <c r="E59" s="91" t="n">
        <v>9</v>
      </c>
      <c r="F59" s="91" t="n">
        <v>8</v>
      </c>
      <c r="G59" s="91" t="n">
        <v>8</v>
      </c>
      <c r="H59" s="91" t="n">
        <v>9.5</v>
      </c>
      <c r="I59" s="91" t="n">
        <v>8.5</v>
      </c>
      <c r="J59" s="91" t="n">
        <v>9.5</v>
      </c>
      <c r="K59" s="91" t="n">
        <v>8.4</v>
      </c>
      <c r="L59" s="91" t="n">
        <v>8.8</v>
      </c>
      <c r="M59" s="91" t="n">
        <v>8.6</v>
      </c>
      <c r="N59" s="91" t="n">
        <v>7.8</v>
      </c>
      <c r="O59" s="91" t="n">
        <v>7.6</v>
      </c>
      <c r="P59" s="91" t="n">
        <v>9</v>
      </c>
      <c r="Q59" s="91" t="n">
        <f aca="false">AVERAGE(E59:P59)</f>
        <v>8.55833333333333</v>
      </c>
      <c r="R59" s="92" t="str">
        <f aca="false">IF(Q59&lt;8,"⚠ Below 8 Hrs","")</f>
        <v/>
      </c>
    </row>
    <row r="60" customFormat="false" ht="15.75" hidden="false" customHeight="true" outlineLevel="0" collapsed="false">
      <c r="A60" s="75" t="s">
        <v>278</v>
      </c>
      <c r="B60" s="75" t="s">
        <v>279</v>
      </c>
      <c r="C60" s="75" t="s">
        <v>37</v>
      </c>
      <c r="D60" s="75" t="s">
        <v>56</v>
      </c>
      <c r="E60" s="93" t="n">
        <v>8.9</v>
      </c>
      <c r="F60" s="93" t="n">
        <v>8.6</v>
      </c>
      <c r="G60" s="93" t="n">
        <v>7.9</v>
      </c>
      <c r="H60" s="93" t="n">
        <v>7.8</v>
      </c>
      <c r="I60" s="93" t="n">
        <v>9.1</v>
      </c>
      <c r="J60" s="93" t="n">
        <v>8.7</v>
      </c>
      <c r="K60" s="93" t="n">
        <v>8.5</v>
      </c>
      <c r="L60" s="93" t="n">
        <v>9.5</v>
      </c>
      <c r="M60" s="93" t="n">
        <v>7.8</v>
      </c>
      <c r="N60" s="93" t="n">
        <v>9.8</v>
      </c>
      <c r="O60" s="93" t="n">
        <v>8.3</v>
      </c>
      <c r="P60" s="93" t="n">
        <v>9.8</v>
      </c>
      <c r="Q60" s="93" t="n">
        <f aca="false">AVERAGE(E60:P60)</f>
        <v>8.725</v>
      </c>
      <c r="R60" s="94" t="str">
        <f aca="false">IF(Q60&lt;8,"⚠ Below 8 Hrs","")</f>
        <v/>
      </c>
    </row>
    <row r="61" customFormat="false" ht="15.75" hidden="false" customHeight="true" outlineLevel="0" collapsed="false">
      <c r="A61" s="77" t="s">
        <v>280</v>
      </c>
      <c r="B61" s="77" t="s">
        <v>281</v>
      </c>
      <c r="C61" s="77" t="s">
        <v>46</v>
      </c>
      <c r="D61" s="77" t="s">
        <v>56</v>
      </c>
      <c r="E61" s="91" t="n">
        <v>9.8</v>
      </c>
      <c r="F61" s="91" t="n">
        <v>7.8</v>
      </c>
      <c r="G61" s="91" t="n">
        <v>9.5</v>
      </c>
      <c r="H61" s="91" t="n">
        <v>7.9</v>
      </c>
      <c r="I61" s="91" t="n">
        <v>7.7</v>
      </c>
      <c r="J61" s="91" t="n">
        <v>8.3</v>
      </c>
      <c r="K61" s="91" t="n">
        <v>9.8</v>
      </c>
      <c r="L61" s="91" t="n">
        <v>8.2</v>
      </c>
      <c r="M61" s="91" t="n">
        <v>7.6</v>
      </c>
      <c r="N61" s="91" t="n">
        <v>8.5</v>
      </c>
      <c r="O61" s="91" t="n">
        <v>8</v>
      </c>
      <c r="P61" s="91" t="n">
        <v>9.3</v>
      </c>
      <c r="Q61" s="91" t="n">
        <f aca="false">AVERAGE(E61:P61)</f>
        <v>8.53333333333333</v>
      </c>
      <c r="R61" s="92" t="str">
        <f aca="false">IF(Q61&lt;8,"⚠ Below 8 Hrs","")</f>
        <v/>
      </c>
    </row>
    <row r="62" customFormat="false" ht="15.75" hidden="false" customHeight="true" outlineLevel="0" collapsed="false">
      <c r="A62" s="75" t="s">
        <v>282</v>
      </c>
      <c r="B62" s="75" t="s">
        <v>283</v>
      </c>
      <c r="C62" s="75" t="s">
        <v>39</v>
      </c>
      <c r="D62" s="75" t="s">
        <v>56</v>
      </c>
      <c r="E62" s="93" t="n">
        <v>7.9</v>
      </c>
      <c r="F62" s="93" t="n">
        <v>9.3</v>
      </c>
      <c r="G62" s="93" t="n">
        <v>9.3</v>
      </c>
      <c r="H62" s="93" t="n">
        <v>7.8</v>
      </c>
      <c r="I62" s="93" t="n">
        <v>8.5</v>
      </c>
      <c r="J62" s="93" t="n">
        <v>8.5</v>
      </c>
      <c r="K62" s="93" t="n">
        <v>8.5</v>
      </c>
      <c r="L62" s="93" t="n">
        <v>8.6</v>
      </c>
      <c r="M62" s="93" t="n">
        <v>7.5</v>
      </c>
      <c r="N62" s="93" t="n">
        <v>8.7</v>
      </c>
      <c r="O62" s="93" t="n">
        <v>9.2</v>
      </c>
      <c r="P62" s="93" t="n">
        <v>9.7</v>
      </c>
      <c r="Q62" s="93" t="n">
        <f aca="false">AVERAGE(E62:P62)</f>
        <v>8.625</v>
      </c>
      <c r="R62" s="94" t="str">
        <f aca="false">IF(Q62&lt;8,"⚠ Below 8 Hrs","")</f>
        <v/>
      </c>
    </row>
    <row r="63" customFormat="false" ht="15.75" hidden="false" customHeight="true" outlineLevel="0" collapsed="false">
      <c r="A63" s="77" t="s">
        <v>284</v>
      </c>
      <c r="B63" s="77" t="s">
        <v>285</v>
      </c>
      <c r="C63" s="77" t="s">
        <v>42</v>
      </c>
      <c r="D63" s="77" t="s">
        <v>56</v>
      </c>
      <c r="E63" s="91" t="n">
        <v>9.2</v>
      </c>
      <c r="F63" s="91" t="n">
        <v>8.7</v>
      </c>
      <c r="G63" s="91" t="n">
        <v>7.5</v>
      </c>
      <c r="H63" s="91" t="n">
        <v>7.5</v>
      </c>
      <c r="I63" s="91" t="n">
        <v>9.2</v>
      </c>
      <c r="J63" s="91" t="n">
        <v>8</v>
      </c>
      <c r="K63" s="91" t="n">
        <v>9.5</v>
      </c>
      <c r="L63" s="91" t="n">
        <v>8.2</v>
      </c>
      <c r="M63" s="91" t="n">
        <v>7.7</v>
      </c>
      <c r="N63" s="91" t="n">
        <v>8.7</v>
      </c>
      <c r="O63" s="91" t="n">
        <v>8.2</v>
      </c>
      <c r="P63" s="91" t="n">
        <v>7.7</v>
      </c>
      <c r="Q63" s="91" t="n">
        <f aca="false">AVERAGE(E63:P63)</f>
        <v>8.34166666666667</v>
      </c>
      <c r="R63" s="92" t="str">
        <f aca="false">IF(Q63&lt;8,"⚠ Below 8 Hrs","")</f>
        <v/>
      </c>
    </row>
    <row r="64" customFormat="false" ht="15.75" hidden="false" customHeight="true" outlineLevel="0" collapsed="false">
      <c r="A64" s="88" t="s">
        <v>286</v>
      </c>
      <c r="B64" s="88" t="s">
        <v>287</v>
      </c>
      <c r="C64" s="88" t="s">
        <v>33</v>
      </c>
      <c r="D64" s="88" t="s">
        <v>56</v>
      </c>
      <c r="E64" s="89" t="n">
        <v>8.4</v>
      </c>
      <c r="F64" s="89" t="n">
        <v>7.1</v>
      </c>
      <c r="G64" s="89" t="n">
        <v>7.3</v>
      </c>
      <c r="H64" s="89" t="n">
        <v>7.3</v>
      </c>
      <c r="I64" s="89" t="n">
        <v>7.1</v>
      </c>
      <c r="J64" s="89" t="n">
        <v>7.7</v>
      </c>
      <c r="K64" s="89" t="n">
        <v>6.3</v>
      </c>
      <c r="L64" s="89" t="n">
        <v>8.5</v>
      </c>
      <c r="M64" s="89" t="n">
        <v>7.2</v>
      </c>
      <c r="N64" s="89" t="n">
        <v>7.9</v>
      </c>
      <c r="O64" s="89" t="n">
        <v>6.4</v>
      </c>
      <c r="P64" s="89" t="n">
        <v>8.3</v>
      </c>
      <c r="Q64" s="89" t="n">
        <f aca="false">AVERAGE(E64:P64)</f>
        <v>7.45833333333333</v>
      </c>
      <c r="R64" s="90" t="str">
        <f aca="false">IF(Q64&lt;8,"⚠ Below 8 Hrs","")</f>
        <v>⚠ Below 8 Hrs</v>
      </c>
    </row>
    <row r="65" customFormat="false" ht="15.75" hidden="false" customHeight="true" outlineLevel="0" collapsed="false">
      <c r="A65" s="77" t="s">
        <v>288</v>
      </c>
      <c r="B65" s="77" t="s">
        <v>289</v>
      </c>
      <c r="C65" s="77" t="s">
        <v>43</v>
      </c>
      <c r="D65" s="77" t="s">
        <v>56</v>
      </c>
      <c r="E65" s="91" t="n">
        <v>7.5</v>
      </c>
      <c r="F65" s="91" t="n">
        <v>8</v>
      </c>
      <c r="G65" s="91" t="n">
        <v>9.8</v>
      </c>
      <c r="H65" s="91" t="n">
        <v>8</v>
      </c>
      <c r="I65" s="91" t="n">
        <v>7.6</v>
      </c>
      <c r="J65" s="91" t="n">
        <v>8.7</v>
      </c>
      <c r="K65" s="91" t="n">
        <v>7.8</v>
      </c>
      <c r="L65" s="91" t="n">
        <v>9.1</v>
      </c>
      <c r="M65" s="91" t="n">
        <v>9.3</v>
      </c>
      <c r="N65" s="91" t="n">
        <v>8.4</v>
      </c>
      <c r="O65" s="91" t="n">
        <v>9</v>
      </c>
      <c r="P65" s="91" t="n">
        <v>9.3</v>
      </c>
      <c r="Q65" s="91" t="n">
        <f aca="false">AVERAGE(E65:P65)</f>
        <v>8.54166666666667</v>
      </c>
      <c r="R65" s="92" t="str">
        <f aca="false">IF(Q65&lt;8,"⚠ Below 8 Hrs","")</f>
        <v/>
      </c>
    </row>
    <row r="66" customFormat="false" ht="15.75" hidden="false" customHeight="true" outlineLevel="0" collapsed="false">
      <c r="A66" s="75" t="s">
        <v>290</v>
      </c>
      <c r="B66" s="75" t="s">
        <v>291</v>
      </c>
      <c r="C66" s="75" t="s">
        <v>41</v>
      </c>
      <c r="D66" s="75" t="s">
        <v>56</v>
      </c>
      <c r="E66" s="93" t="n">
        <v>8.9</v>
      </c>
      <c r="F66" s="93" t="n">
        <v>7.6</v>
      </c>
      <c r="G66" s="93" t="n">
        <v>7.7</v>
      </c>
      <c r="H66" s="93" t="n">
        <v>9.4</v>
      </c>
      <c r="I66" s="93" t="n">
        <v>7.6</v>
      </c>
      <c r="J66" s="93" t="n">
        <v>7.8</v>
      </c>
      <c r="K66" s="93" t="n">
        <v>8.5</v>
      </c>
      <c r="L66" s="93" t="n">
        <v>7.8</v>
      </c>
      <c r="M66" s="93" t="n">
        <v>8.1</v>
      </c>
      <c r="N66" s="93" t="n">
        <v>9.1</v>
      </c>
      <c r="O66" s="93" t="n">
        <v>8</v>
      </c>
      <c r="P66" s="93" t="n">
        <v>9.1</v>
      </c>
      <c r="Q66" s="93" t="n">
        <f aca="false">AVERAGE(E66:P66)</f>
        <v>8.3</v>
      </c>
      <c r="R66" s="94" t="str">
        <f aca="false">IF(Q66&lt;8,"⚠ Below 8 Hrs","")</f>
        <v/>
      </c>
    </row>
    <row r="67" customFormat="false" ht="15.75" hidden="false" customHeight="true" outlineLevel="0" collapsed="false">
      <c r="A67" s="88" t="s">
        <v>72</v>
      </c>
      <c r="B67" s="88" t="s">
        <v>292</v>
      </c>
      <c r="C67" s="88" t="s">
        <v>46</v>
      </c>
      <c r="D67" s="88" t="s">
        <v>56</v>
      </c>
      <c r="E67" s="89" t="n">
        <v>7.1</v>
      </c>
      <c r="F67" s="89" t="n">
        <v>6.3</v>
      </c>
      <c r="G67" s="89" t="n">
        <v>7.3</v>
      </c>
      <c r="H67" s="89" t="n">
        <v>7.6</v>
      </c>
      <c r="I67" s="89" t="n">
        <v>7.8</v>
      </c>
      <c r="J67" s="89" t="n">
        <v>7</v>
      </c>
      <c r="K67" s="89" t="n">
        <v>8.2</v>
      </c>
      <c r="L67" s="89" t="n">
        <v>7.3</v>
      </c>
      <c r="M67" s="89" t="n">
        <v>7.5</v>
      </c>
      <c r="N67" s="89" t="n">
        <v>6.7</v>
      </c>
      <c r="O67" s="89" t="n">
        <v>8</v>
      </c>
      <c r="P67" s="89" t="n">
        <v>7.2</v>
      </c>
      <c r="Q67" s="89" t="n">
        <f aca="false">AVERAGE(E67:P67)</f>
        <v>7.33333333333333</v>
      </c>
      <c r="R67" s="90" t="str">
        <f aca="false">IF(Q67&lt;8,"⚠ Below 8 Hrs","")</f>
        <v>⚠ Below 8 Hrs</v>
      </c>
    </row>
    <row r="68" customFormat="false" ht="15.75" hidden="false" customHeight="true" outlineLevel="0" collapsed="false">
      <c r="A68" s="75" t="s">
        <v>293</v>
      </c>
      <c r="B68" s="75" t="s">
        <v>294</v>
      </c>
      <c r="C68" s="75" t="s">
        <v>37</v>
      </c>
      <c r="D68" s="75" t="s">
        <v>56</v>
      </c>
      <c r="E68" s="93" t="n">
        <v>9.3</v>
      </c>
      <c r="F68" s="93" t="n">
        <v>9.4</v>
      </c>
      <c r="G68" s="93" t="n">
        <v>9.7</v>
      </c>
      <c r="H68" s="93" t="n">
        <v>8.3</v>
      </c>
      <c r="I68" s="93" t="n">
        <v>8.4</v>
      </c>
      <c r="J68" s="93" t="n">
        <v>7.9</v>
      </c>
      <c r="K68" s="93" t="n">
        <v>8.8</v>
      </c>
      <c r="L68" s="93" t="n">
        <v>9.6</v>
      </c>
      <c r="M68" s="93" t="n">
        <v>9.1</v>
      </c>
      <c r="N68" s="93" t="n">
        <v>8.6</v>
      </c>
      <c r="O68" s="93" t="n">
        <v>8</v>
      </c>
      <c r="P68" s="93" t="n">
        <v>7.5</v>
      </c>
      <c r="Q68" s="93" t="n">
        <f aca="false">AVERAGE(E68:P68)</f>
        <v>8.71666666666667</v>
      </c>
      <c r="R68" s="94" t="str">
        <f aca="false">IF(Q68&lt;8,"⚠ Below 8 Hrs","")</f>
        <v/>
      </c>
    </row>
    <row r="69" customFormat="false" ht="15.75" hidden="false" customHeight="true" outlineLevel="0" collapsed="false">
      <c r="A69" s="88" t="s">
        <v>295</v>
      </c>
      <c r="B69" s="88" t="s">
        <v>296</v>
      </c>
      <c r="C69" s="88" t="s">
        <v>41</v>
      </c>
      <c r="D69" s="88" t="s">
        <v>56</v>
      </c>
      <c r="E69" s="89" t="n">
        <v>6.3</v>
      </c>
      <c r="F69" s="89" t="n">
        <v>7.4</v>
      </c>
      <c r="G69" s="89" t="n">
        <v>7.2</v>
      </c>
      <c r="H69" s="89" t="n">
        <v>8.4</v>
      </c>
      <c r="I69" s="89" t="n">
        <v>7.9</v>
      </c>
      <c r="J69" s="89" t="n">
        <v>6.2</v>
      </c>
      <c r="K69" s="89" t="n">
        <v>7.8</v>
      </c>
      <c r="L69" s="89" t="n">
        <v>8.3</v>
      </c>
      <c r="M69" s="89" t="n">
        <v>7.6</v>
      </c>
      <c r="N69" s="89" t="n">
        <v>7.1</v>
      </c>
      <c r="O69" s="89" t="n">
        <v>8.4</v>
      </c>
      <c r="P69" s="89" t="n">
        <v>6.7</v>
      </c>
      <c r="Q69" s="89" t="n">
        <f aca="false">AVERAGE(E69:P69)</f>
        <v>7.44166666666667</v>
      </c>
      <c r="R69" s="90" t="str">
        <f aca="false">IF(Q69&lt;8,"⚠ Below 8 Hrs","")</f>
        <v>⚠ Below 8 Hrs</v>
      </c>
    </row>
    <row r="70" customFormat="false" ht="15.75" hidden="false" customHeight="true" outlineLevel="0" collapsed="false">
      <c r="A70" s="88" t="s">
        <v>297</v>
      </c>
      <c r="B70" s="88" t="s">
        <v>298</v>
      </c>
      <c r="C70" s="88" t="s">
        <v>45</v>
      </c>
      <c r="D70" s="88" t="s">
        <v>56</v>
      </c>
      <c r="E70" s="89" t="n">
        <v>8</v>
      </c>
      <c r="F70" s="89" t="n">
        <v>8.2</v>
      </c>
      <c r="G70" s="89" t="n">
        <v>8.1</v>
      </c>
      <c r="H70" s="89" t="n">
        <v>6.9</v>
      </c>
      <c r="I70" s="89" t="n">
        <v>7.7</v>
      </c>
      <c r="J70" s="89" t="n">
        <v>7.1</v>
      </c>
      <c r="K70" s="89" t="n">
        <v>6.3</v>
      </c>
      <c r="L70" s="89" t="n">
        <v>8.1</v>
      </c>
      <c r="M70" s="89" t="n">
        <v>8.2</v>
      </c>
      <c r="N70" s="89" t="n">
        <v>6</v>
      </c>
      <c r="O70" s="89" t="n">
        <v>6.3</v>
      </c>
      <c r="P70" s="89" t="n">
        <v>7.6</v>
      </c>
      <c r="Q70" s="89" t="n">
        <f aca="false">AVERAGE(E70:P70)</f>
        <v>7.375</v>
      </c>
      <c r="R70" s="90" t="str">
        <f aca="false">IF(Q70&lt;8,"⚠ Below 8 Hrs","")</f>
        <v>⚠ Below 8 Hrs</v>
      </c>
    </row>
    <row r="71" customFormat="false" ht="15.75" hidden="false" customHeight="true" outlineLevel="0" collapsed="false">
      <c r="A71" s="77" t="s">
        <v>299</v>
      </c>
      <c r="B71" s="77" t="s">
        <v>300</v>
      </c>
      <c r="C71" s="77" t="s">
        <v>41</v>
      </c>
      <c r="D71" s="77" t="s">
        <v>56</v>
      </c>
      <c r="E71" s="91" t="n">
        <v>9.6</v>
      </c>
      <c r="F71" s="91" t="n">
        <v>9.7</v>
      </c>
      <c r="G71" s="91" t="n">
        <v>8.1</v>
      </c>
      <c r="H71" s="91" t="n">
        <v>9.2</v>
      </c>
      <c r="I71" s="91" t="n">
        <v>8.4</v>
      </c>
      <c r="J71" s="91" t="n">
        <v>8.3</v>
      </c>
      <c r="K71" s="91" t="n">
        <v>7.8</v>
      </c>
      <c r="L71" s="91" t="n">
        <v>8.4</v>
      </c>
      <c r="M71" s="91" t="n">
        <v>8.6</v>
      </c>
      <c r="N71" s="91" t="n">
        <v>9.4</v>
      </c>
      <c r="O71" s="91" t="n">
        <v>9.1</v>
      </c>
      <c r="P71" s="91" t="n">
        <v>8.6</v>
      </c>
      <c r="Q71" s="91" t="n">
        <f aca="false">AVERAGE(E71:P71)</f>
        <v>8.76666666666667</v>
      </c>
      <c r="R71" s="92" t="str">
        <f aca="false">IF(Q71&lt;8,"⚠ Below 8 Hrs","")</f>
        <v/>
      </c>
    </row>
    <row r="72" customFormat="false" ht="15.75" hidden="false" customHeight="true" outlineLevel="0" collapsed="false">
      <c r="A72" s="75" t="s">
        <v>303</v>
      </c>
      <c r="B72" s="75" t="s">
        <v>304</v>
      </c>
      <c r="C72" s="75" t="s">
        <v>42</v>
      </c>
      <c r="D72" s="75" t="s">
        <v>62</v>
      </c>
      <c r="E72" s="93" t="n">
        <v>9.5</v>
      </c>
      <c r="F72" s="93" t="n">
        <v>7.9</v>
      </c>
      <c r="G72" s="93" t="n">
        <v>7.8</v>
      </c>
      <c r="H72" s="93" t="n">
        <v>9.2</v>
      </c>
      <c r="I72" s="93" t="n">
        <v>9.8</v>
      </c>
      <c r="J72" s="93" t="n">
        <v>9.4</v>
      </c>
      <c r="K72" s="93" t="n">
        <v>7.7</v>
      </c>
      <c r="L72" s="93" t="n">
        <v>9.6</v>
      </c>
      <c r="M72" s="93" t="n">
        <v>8.6</v>
      </c>
      <c r="N72" s="93" t="n">
        <v>8.8</v>
      </c>
      <c r="O72" s="93" t="n">
        <v>8.5</v>
      </c>
      <c r="P72" s="93" t="n">
        <v>8.9</v>
      </c>
      <c r="Q72" s="93" t="n">
        <f aca="false">AVERAGE(E72:P72)</f>
        <v>8.80833333333333</v>
      </c>
      <c r="R72" s="94" t="str">
        <f aca="false">IF(Q72&lt;8,"⚠ Below 8 Hrs","")</f>
        <v/>
      </c>
    </row>
    <row r="73" customFormat="false" ht="15.75" hidden="false" customHeight="true" outlineLevel="0" collapsed="false">
      <c r="A73" s="77" t="s">
        <v>305</v>
      </c>
      <c r="B73" s="77" t="s">
        <v>306</v>
      </c>
      <c r="C73" s="77" t="s">
        <v>44</v>
      </c>
      <c r="D73" s="77" t="s">
        <v>62</v>
      </c>
      <c r="E73" s="91" t="n">
        <v>8.9</v>
      </c>
      <c r="F73" s="91" t="n">
        <v>9.5</v>
      </c>
      <c r="G73" s="91" t="n">
        <v>9.5</v>
      </c>
      <c r="H73" s="91" t="n">
        <v>9.2</v>
      </c>
      <c r="I73" s="91" t="n">
        <v>9.6</v>
      </c>
      <c r="J73" s="91" t="n">
        <v>8.6</v>
      </c>
      <c r="K73" s="91" t="n">
        <v>8.6</v>
      </c>
      <c r="L73" s="91" t="n">
        <v>9.5</v>
      </c>
      <c r="M73" s="91" t="n">
        <v>8.5</v>
      </c>
      <c r="N73" s="91" t="n">
        <v>7.6</v>
      </c>
      <c r="O73" s="91" t="n">
        <v>9</v>
      </c>
      <c r="P73" s="91" t="n">
        <v>7.5</v>
      </c>
      <c r="Q73" s="91" t="n">
        <f aca="false">AVERAGE(E73:P73)</f>
        <v>8.83333333333333</v>
      </c>
      <c r="R73" s="92" t="str">
        <f aca="false">IF(Q73&lt;8,"⚠ Below 8 Hrs","")</f>
        <v/>
      </c>
    </row>
    <row r="74" customFormat="false" ht="15.75" hidden="false" customHeight="true" outlineLevel="0" collapsed="false">
      <c r="A74" s="75" t="s">
        <v>88</v>
      </c>
      <c r="B74" s="75" t="s">
        <v>308</v>
      </c>
      <c r="C74" s="75" t="s">
        <v>39</v>
      </c>
      <c r="D74" s="75" t="s">
        <v>62</v>
      </c>
      <c r="E74" s="93" t="n">
        <v>8.7</v>
      </c>
      <c r="F74" s="93" t="n">
        <v>9.2</v>
      </c>
      <c r="G74" s="93" t="n">
        <v>9.2</v>
      </c>
      <c r="H74" s="93" t="n">
        <v>8</v>
      </c>
      <c r="I74" s="93" t="n">
        <v>9.7</v>
      </c>
      <c r="J74" s="93" t="n">
        <v>9.5</v>
      </c>
      <c r="K74" s="93" t="n">
        <v>8.7</v>
      </c>
      <c r="L74" s="93" t="n">
        <v>9.1</v>
      </c>
      <c r="M74" s="93" t="n">
        <v>8.9</v>
      </c>
      <c r="N74" s="93" t="n">
        <v>8.5</v>
      </c>
      <c r="O74" s="93" t="n">
        <v>9.2</v>
      </c>
      <c r="P74" s="93" t="n">
        <v>8.6</v>
      </c>
      <c r="Q74" s="93" t="n">
        <f aca="false">AVERAGE(E74:P74)</f>
        <v>8.94166666666667</v>
      </c>
      <c r="R74" s="94" t="str">
        <f aca="false">IF(Q74&lt;8,"⚠ Below 8 Hrs","")</f>
        <v/>
      </c>
    </row>
    <row r="75" customFormat="false" ht="15.75" hidden="false" customHeight="true" outlineLevel="0" collapsed="false">
      <c r="A75" s="77" t="s">
        <v>309</v>
      </c>
      <c r="B75" s="77" t="s">
        <v>310</v>
      </c>
      <c r="C75" s="77" t="s">
        <v>39</v>
      </c>
      <c r="D75" s="77" t="s">
        <v>62</v>
      </c>
      <c r="E75" s="91" t="n">
        <v>9</v>
      </c>
      <c r="F75" s="91" t="n">
        <v>7.8</v>
      </c>
      <c r="G75" s="91" t="n">
        <v>9.4</v>
      </c>
      <c r="H75" s="91" t="n">
        <v>9.6</v>
      </c>
      <c r="I75" s="91" t="n">
        <v>8.9</v>
      </c>
      <c r="J75" s="91" t="n">
        <v>7.5</v>
      </c>
      <c r="K75" s="91" t="n">
        <v>9.6</v>
      </c>
      <c r="L75" s="91" t="n">
        <v>8.7</v>
      </c>
      <c r="M75" s="91" t="n">
        <v>8.6</v>
      </c>
      <c r="N75" s="91" t="n">
        <v>8.6</v>
      </c>
      <c r="O75" s="91" t="n">
        <v>7.9</v>
      </c>
      <c r="P75" s="91" t="n">
        <v>9.2</v>
      </c>
      <c r="Q75" s="91" t="n">
        <f aca="false">AVERAGE(E75:P75)</f>
        <v>8.73333333333333</v>
      </c>
      <c r="R75" s="92" t="str">
        <f aca="false">IF(Q75&lt;8,"⚠ Below 8 Hrs","")</f>
        <v/>
      </c>
    </row>
    <row r="76" customFormat="false" ht="15.75" hidden="false" customHeight="true" outlineLevel="0" collapsed="false">
      <c r="A76" s="75" t="s">
        <v>86</v>
      </c>
      <c r="B76" s="75" t="s">
        <v>311</v>
      </c>
      <c r="C76" s="75" t="s">
        <v>41</v>
      </c>
      <c r="D76" s="75" t="s">
        <v>62</v>
      </c>
      <c r="E76" s="93" t="n">
        <v>8.3</v>
      </c>
      <c r="F76" s="93" t="n">
        <v>8.1</v>
      </c>
      <c r="G76" s="93" t="n">
        <v>8.7</v>
      </c>
      <c r="H76" s="93" t="n">
        <v>8.8</v>
      </c>
      <c r="I76" s="93" t="n">
        <v>8.4</v>
      </c>
      <c r="J76" s="93" t="n">
        <v>9.4</v>
      </c>
      <c r="K76" s="93" t="n">
        <v>7.7</v>
      </c>
      <c r="L76" s="93" t="n">
        <v>8.5</v>
      </c>
      <c r="M76" s="93" t="n">
        <v>8.8</v>
      </c>
      <c r="N76" s="93" t="n">
        <v>7.7</v>
      </c>
      <c r="O76" s="93" t="n">
        <v>8.6</v>
      </c>
      <c r="P76" s="93" t="n">
        <v>8.2</v>
      </c>
      <c r="Q76" s="93" t="n">
        <f aca="false">AVERAGE(E76:P76)</f>
        <v>8.43333333333333</v>
      </c>
      <c r="R76" s="94" t="str">
        <f aca="false">IF(Q76&lt;8,"⚠ Below 8 Hrs","")</f>
        <v/>
      </c>
    </row>
    <row r="77" customFormat="false" ht="15.75" hidden="false" customHeight="true" outlineLevel="0" collapsed="false">
      <c r="A77" s="77" t="s">
        <v>312</v>
      </c>
      <c r="B77" s="77" t="s">
        <v>313</v>
      </c>
      <c r="C77" s="77" t="s">
        <v>42</v>
      </c>
      <c r="D77" s="77" t="s">
        <v>62</v>
      </c>
      <c r="E77" s="91" t="n">
        <v>9.2</v>
      </c>
      <c r="F77" s="91" t="n">
        <v>7.5</v>
      </c>
      <c r="G77" s="91" t="n">
        <v>8.4</v>
      </c>
      <c r="H77" s="91" t="n">
        <v>7.6</v>
      </c>
      <c r="I77" s="91" t="n">
        <v>8.8</v>
      </c>
      <c r="J77" s="91" t="n">
        <v>9.4</v>
      </c>
      <c r="K77" s="91" t="n">
        <v>9.3</v>
      </c>
      <c r="L77" s="91" t="n">
        <v>9.7</v>
      </c>
      <c r="M77" s="91" t="n">
        <v>9</v>
      </c>
      <c r="N77" s="91" t="n">
        <v>9.5</v>
      </c>
      <c r="O77" s="91" t="n">
        <v>8.8</v>
      </c>
      <c r="P77" s="91" t="n">
        <v>9</v>
      </c>
      <c r="Q77" s="91" t="n">
        <f aca="false">AVERAGE(E77:P77)</f>
        <v>8.85</v>
      </c>
      <c r="R77" s="92" t="str">
        <f aca="false">IF(Q77&lt;8,"⚠ Below 8 Hrs","")</f>
        <v/>
      </c>
    </row>
    <row r="78" customFormat="false" ht="15.75" hidden="false" customHeight="true" outlineLevel="0" collapsed="false">
      <c r="A78" s="75" t="s">
        <v>315</v>
      </c>
      <c r="B78" s="75" t="s">
        <v>316</v>
      </c>
      <c r="C78" s="75" t="s">
        <v>37</v>
      </c>
      <c r="D78" s="75" t="s">
        <v>62</v>
      </c>
      <c r="E78" s="93" t="n">
        <v>8.3</v>
      </c>
      <c r="F78" s="93" t="n">
        <v>9.4</v>
      </c>
      <c r="G78" s="93" t="n">
        <v>9.4</v>
      </c>
      <c r="H78" s="93" t="n">
        <v>9.4</v>
      </c>
      <c r="I78" s="93" t="n">
        <v>8.3</v>
      </c>
      <c r="J78" s="93" t="n">
        <v>9.3</v>
      </c>
      <c r="K78" s="93" t="n">
        <v>8.9</v>
      </c>
      <c r="L78" s="93" t="n">
        <v>9.1</v>
      </c>
      <c r="M78" s="93" t="n">
        <v>8.3</v>
      </c>
      <c r="N78" s="93" t="n">
        <v>8.5</v>
      </c>
      <c r="O78" s="93" t="n">
        <v>7.7</v>
      </c>
      <c r="P78" s="93" t="n">
        <v>9</v>
      </c>
      <c r="Q78" s="93" t="n">
        <f aca="false">AVERAGE(E78:P78)</f>
        <v>8.8</v>
      </c>
      <c r="R78" s="94" t="str">
        <f aca="false">IF(Q78&lt;8,"⚠ Below 8 Hrs","")</f>
        <v/>
      </c>
    </row>
    <row r="79" customFormat="false" ht="15.75" hidden="false" customHeight="true" outlineLevel="0" collapsed="false">
      <c r="A79" s="88" t="s">
        <v>317</v>
      </c>
      <c r="B79" s="88" t="s">
        <v>318</v>
      </c>
      <c r="C79" s="88" t="s">
        <v>43</v>
      </c>
      <c r="D79" s="88" t="s">
        <v>62</v>
      </c>
      <c r="E79" s="89" t="n">
        <v>6.9</v>
      </c>
      <c r="F79" s="89" t="n">
        <v>7.6</v>
      </c>
      <c r="G79" s="89" t="n">
        <v>8</v>
      </c>
      <c r="H79" s="89" t="n">
        <v>7.4</v>
      </c>
      <c r="I79" s="89" t="n">
        <v>6.9</v>
      </c>
      <c r="J79" s="89" t="n">
        <v>6.3</v>
      </c>
      <c r="K79" s="89" t="n">
        <v>8.2</v>
      </c>
      <c r="L79" s="89" t="n">
        <v>7.2</v>
      </c>
      <c r="M79" s="89" t="n">
        <v>8.1</v>
      </c>
      <c r="N79" s="89" t="n">
        <v>7.9</v>
      </c>
      <c r="O79" s="89" t="n">
        <v>7</v>
      </c>
      <c r="P79" s="89" t="n">
        <v>6.6</v>
      </c>
      <c r="Q79" s="89" t="n">
        <f aca="false">AVERAGE(E79:P79)</f>
        <v>7.34166666666667</v>
      </c>
      <c r="R79" s="90" t="str">
        <f aca="false">IF(Q79&lt;8,"⚠ Below 8 Hrs","")</f>
        <v>⚠ Below 8 Hrs</v>
      </c>
    </row>
    <row r="80" customFormat="false" ht="15.75" hidden="false" customHeight="true" outlineLevel="0" collapsed="false">
      <c r="A80" s="88" t="s">
        <v>82</v>
      </c>
      <c r="B80" s="88" t="s">
        <v>319</v>
      </c>
      <c r="C80" s="88" t="s">
        <v>44</v>
      </c>
      <c r="D80" s="88" t="s">
        <v>62</v>
      </c>
      <c r="E80" s="89" t="n">
        <v>6.3</v>
      </c>
      <c r="F80" s="89" t="n">
        <v>8.1</v>
      </c>
      <c r="G80" s="89" t="n">
        <v>6.5</v>
      </c>
      <c r="H80" s="89" t="n">
        <v>8.1</v>
      </c>
      <c r="I80" s="89" t="n">
        <v>6.5</v>
      </c>
      <c r="J80" s="89" t="n">
        <v>6.8</v>
      </c>
      <c r="K80" s="89" t="n">
        <v>7.9</v>
      </c>
      <c r="L80" s="89" t="n">
        <v>6.1</v>
      </c>
      <c r="M80" s="89" t="n">
        <v>7.6</v>
      </c>
      <c r="N80" s="89" t="n">
        <v>7.7</v>
      </c>
      <c r="O80" s="89" t="n">
        <v>6.3</v>
      </c>
      <c r="P80" s="89" t="n">
        <v>8.2</v>
      </c>
      <c r="Q80" s="89" t="n">
        <f aca="false">AVERAGE(E80:P80)</f>
        <v>7.175</v>
      </c>
      <c r="R80" s="90" t="str">
        <f aca="false">IF(Q80&lt;8,"⚠ Below 8 Hrs","")</f>
        <v>⚠ Below 8 Hrs</v>
      </c>
    </row>
    <row r="81" customFormat="false" ht="15.75" hidden="false" customHeight="true" outlineLevel="0" collapsed="false">
      <c r="A81" s="77" t="s">
        <v>320</v>
      </c>
      <c r="B81" s="77" t="s">
        <v>321</v>
      </c>
      <c r="C81" s="77" t="s">
        <v>35</v>
      </c>
      <c r="D81" s="77" t="s">
        <v>62</v>
      </c>
      <c r="E81" s="91" t="n">
        <v>8.9</v>
      </c>
      <c r="F81" s="91" t="n">
        <v>8.7</v>
      </c>
      <c r="G81" s="91" t="n">
        <v>9.7</v>
      </c>
      <c r="H81" s="91" t="n">
        <v>7.5</v>
      </c>
      <c r="I81" s="91" t="n">
        <v>9.2</v>
      </c>
      <c r="J81" s="91" t="n">
        <v>8.8</v>
      </c>
      <c r="K81" s="91" t="n">
        <v>8.5</v>
      </c>
      <c r="L81" s="91" t="n">
        <v>8.8</v>
      </c>
      <c r="M81" s="91" t="n">
        <v>9.6</v>
      </c>
      <c r="N81" s="91" t="n">
        <v>9.3</v>
      </c>
      <c r="O81" s="91" t="n">
        <v>9.6</v>
      </c>
      <c r="P81" s="91" t="n">
        <v>9.1</v>
      </c>
      <c r="Q81" s="91" t="n">
        <f aca="false">AVERAGE(E81:P81)</f>
        <v>8.975</v>
      </c>
      <c r="R81" s="92" t="str">
        <f aca="false">IF(Q81&lt;8,"⚠ Below 8 Hrs","")</f>
        <v/>
      </c>
    </row>
    <row r="82" customFormat="false" ht="15.75" hidden="false" customHeight="true" outlineLevel="0" collapsed="false">
      <c r="A82" s="88" t="s">
        <v>322</v>
      </c>
      <c r="B82" s="88" t="s">
        <v>323</v>
      </c>
      <c r="C82" s="88" t="s">
        <v>33</v>
      </c>
      <c r="D82" s="88" t="s">
        <v>62</v>
      </c>
      <c r="E82" s="89" t="n">
        <v>8</v>
      </c>
      <c r="F82" s="89" t="n">
        <v>6.3</v>
      </c>
      <c r="G82" s="89" t="n">
        <v>7.6</v>
      </c>
      <c r="H82" s="89" t="n">
        <v>7.5</v>
      </c>
      <c r="I82" s="89" t="n">
        <v>6.8</v>
      </c>
      <c r="J82" s="89" t="n">
        <v>8.2</v>
      </c>
      <c r="K82" s="89" t="n">
        <v>7</v>
      </c>
      <c r="L82" s="89" t="n">
        <v>7.5</v>
      </c>
      <c r="M82" s="89" t="n">
        <v>7.7</v>
      </c>
      <c r="N82" s="89" t="n">
        <v>6.6</v>
      </c>
      <c r="O82" s="89" t="n">
        <v>7</v>
      </c>
      <c r="P82" s="89" t="n">
        <v>6.9</v>
      </c>
      <c r="Q82" s="89" t="n">
        <f aca="false">AVERAGE(E82:P82)</f>
        <v>7.25833333333333</v>
      </c>
      <c r="R82" s="90" t="str">
        <f aca="false">IF(Q82&lt;8,"⚠ Below 8 Hrs","")</f>
        <v>⚠ Below 8 Hrs</v>
      </c>
    </row>
    <row r="83" customFormat="false" ht="15.75" hidden="false" customHeight="true" outlineLevel="0" collapsed="false">
      <c r="A83" s="77" t="s">
        <v>75</v>
      </c>
      <c r="B83" s="77" t="s">
        <v>324</v>
      </c>
      <c r="C83" s="77" t="s">
        <v>35</v>
      </c>
      <c r="D83" s="77" t="s">
        <v>62</v>
      </c>
      <c r="E83" s="91" t="n">
        <v>9.4</v>
      </c>
      <c r="F83" s="91" t="n">
        <v>7.8</v>
      </c>
      <c r="G83" s="91" t="n">
        <v>8.9</v>
      </c>
      <c r="H83" s="91" t="n">
        <v>9.5</v>
      </c>
      <c r="I83" s="91" t="n">
        <v>8.7</v>
      </c>
      <c r="J83" s="91" t="n">
        <v>9.4</v>
      </c>
      <c r="K83" s="91" t="n">
        <v>8.8</v>
      </c>
      <c r="L83" s="91" t="n">
        <v>8.2</v>
      </c>
      <c r="M83" s="91" t="n">
        <v>9.2</v>
      </c>
      <c r="N83" s="91" t="n">
        <v>8.8</v>
      </c>
      <c r="O83" s="91" t="n">
        <v>8</v>
      </c>
      <c r="P83" s="91" t="n">
        <v>8</v>
      </c>
      <c r="Q83" s="91" t="n">
        <f aca="false">AVERAGE(E83:P83)</f>
        <v>8.725</v>
      </c>
      <c r="R83" s="92" t="str">
        <f aca="false">IF(Q83&lt;8,"⚠ Below 8 Hrs","")</f>
        <v/>
      </c>
    </row>
    <row r="84" customFormat="false" ht="15.75" hidden="false" customHeight="true" outlineLevel="0" collapsed="false">
      <c r="A84" s="75" t="s">
        <v>325</v>
      </c>
      <c r="B84" s="75" t="s">
        <v>326</v>
      </c>
      <c r="C84" s="75" t="s">
        <v>43</v>
      </c>
      <c r="D84" s="75" t="s">
        <v>62</v>
      </c>
      <c r="E84" s="93" t="n">
        <v>9.1</v>
      </c>
      <c r="F84" s="93" t="n">
        <v>9.6</v>
      </c>
      <c r="G84" s="93" t="n">
        <v>7.8</v>
      </c>
      <c r="H84" s="93" t="n">
        <v>9.1</v>
      </c>
      <c r="I84" s="93" t="n">
        <v>9.7</v>
      </c>
      <c r="J84" s="93" t="n">
        <v>7.9</v>
      </c>
      <c r="K84" s="93" t="n">
        <v>8.7</v>
      </c>
      <c r="L84" s="93" t="n">
        <v>9</v>
      </c>
      <c r="M84" s="93" t="n">
        <v>9.1</v>
      </c>
      <c r="N84" s="93" t="n">
        <v>9.2</v>
      </c>
      <c r="O84" s="93" t="n">
        <v>8.8</v>
      </c>
      <c r="P84" s="93" t="n">
        <v>8.8</v>
      </c>
      <c r="Q84" s="93" t="n">
        <f aca="false">AVERAGE(E84:P84)</f>
        <v>8.9</v>
      </c>
      <c r="R84" s="94" t="str">
        <f aca="false">IF(Q84&lt;8,"⚠ Below 8 Hrs","")</f>
        <v/>
      </c>
    </row>
    <row r="85" customFormat="false" ht="15.75" hidden="false" customHeight="true" outlineLevel="0" collapsed="false">
      <c r="A85" s="77" t="s">
        <v>327</v>
      </c>
      <c r="B85" s="77" t="s">
        <v>328</v>
      </c>
      <c r="C85" s="77" t="s">
        <v>37</v>
      </c>
      <c r="D85" s="77" t="s">
        <v>62</v>
      </c>
      <c r="E85" s="91" t="n">
        <v>9.1</v>
      </c>
      <c r="F85" s="91" t="n">
        <v>9.1</v>
      </c>
      <c r="G85" s="91" t="n">
        <v>9.6</v>
      </c>
      <c r="H85" s="91" t="n">
        <v>8.7</v>
      </c>
      <c r="I85" s="91" t="n">
        <v>9.5</v>
      </c>
      <c r="J85" s="91" t="n">
        <v>8.5</v>
      </c>
      <c r="K85" s="91" t="n">
        <v>7.5</v>
      </c>
      <c r="L85" s="91" t="n">
        <v>7.7</v>
      </c>
      <c r="M85" s="91" t="n">
        <v>8.4</v>
      </c>
      <c r="N85" s="91" t="n">
        <v>7.6</v>
      </c>
      <c r="O85" s="91" t="n">
        <v>7.6</v>
      </c>
      <c r="P85" s="91" t="n">
        <v>8.1</v>
      </c>
      <c r="Q85" s="91" t="n">
        <f aca="false">AVERAGE(E85:P85)</f>
        <v>8.45</v>
      </c>
      <c r="R85" s="92" t="str">
        <f aca="false">IF(Q85&lt;8,"⚠ Below 8 Hrs","")</f>
        <v/>
      </c>
    </row>
    <row r="86" customFormat="false" ht="15.75" hidden="false" customHeight="true" outlineLevel="0" collapsed="false">
      <c r="A86" s="75" t="s">
        <v>83</v>
      </c>
      <c r="B86" s="75" t="s">
        <v>329</v>
      </c>
      <c r="C86" s="75" t="s">
        <v>41</v>
      </c>
      <c r="D86" s="75" t="s">
        <v>62</v>
      </c>
      <c r="E86" s="93" t="n">
        <v>9.8</v>
      </c>
      <c r="F86" s="93" t="n">
        <v>9.1</v>
      </c>
      <c r="G86" s="93" t="n">
        <v>7.8</v>
      </c>
      <c r="H86" s="93" t="n">
        <v>7.6</v>
      </c>
      <c r="I86" s="93" t="n">
        <v>9.3</v>
      </c>
      <c r="J86" s="93" t="n">
        <v>8</v>
      </c>
      <c r="K86" s="93" t="n">
        <v>8.7</v>
      </c>
      <c r="L86" s="93" t="n">
        <v>8.3</v>
      </c>
      <c r="M86" s="93" t="n">
        <v>8.5</v>
      </c>
      <c r="N86" s="93" t="n">
        <v>8.9</v>
      </c>
      <c r="O86" s="93" t="n">
        <v>9.1</v>
      </c>
      <c r="P86" s="93" t="n">
        <v>8.8</v>
      </c>
      <c r="Q86" s="93" t="n">
        <f aca="false">AVERAGE(E86:P86)</f>
        <v>8.65833333333333</v>
      </c>
      <c r="R86" s="94" t="str">
        <f aca="false">IF(Q86&lt;8,"⚠ Below 8 Hrs","")</f>
        <v/>
      </c>
    </row>
    <row r="87" customFormat="false" ht="15.75" hidden="false" customHeight="true" outlineLevel="0" collapsed="false">
      <c r="A87" s="77" t="s">
        <v>330</v>
      </c>
      <c r="B87" s="77" t="s">
        <v>331</v>
      </c>
      <c r="C87" s="77" t="s">
        <v>45</v>
      </c>
      <c r="D87" s="77" t="s">
        <v>62</v>
      </c>
      <c r="E87" s="91" t="n">
        <v>9</v>
      </c>
      <c r="F87" s="91" t="n">
        <v>8.4</v>
      </c>
      <c r="G87" s="91" t="n">
        <v>8.7</v>
      </c>
      <c r="H87" s="91" t="n">
        <v>9.3</v>
      </c>
      <c r="I87" s="91" t="n">
        <v>9.1</v>
      </c>
      <c r="J87" s="91" t="n">
        <v>9.1</v>
      </c>
      <c r="K87" s="91" t="n">
        <v>7.6</v>
      </c>
      <c r="L87" s="91" t="n">
        <v>8.4</v>
      </c>
      <c r="M87" s="91" t="n">
        <v>8.5</v>
      </c>
      <c r="N87" s="91" t="n">
        <v>9.3</v>
      </c>
      <c r="O87" s="91" t="n">
        <v>9.1</v>
      </c>
      <c r="P87" s="91" t="n">
        <v>9.7</v>
      </c>
      <c r="Q87" s="91" t="n">
        <f aca="false">AVERAGE(E87:P87)</f>
        <v>8.85</v>
      </c>
      <c r="R87" s="92" t="str">
        <f aca="false">IF(Q87&lt;8,"⚠ Below 8 Hrs","")</f>
        <v/>
      </c>
    </row>
    <row r="88" customFormat="false" ht="15.75" hidden="false" customHeight="true" outlineLevel="0" collapsed="false">
      <c r="A88" s="88" t="s">
        <v>332</v>
      </c>
      <c r="B88" s="88" t="s">
        <v>333</v>
      </c>
      <c r="C88" s="88" t="s">
        <v>33</v>
      </c>
      <c r="D88" s="88" t="s">
        <v>62</v>
      </c>
      <c r="E88" s="89" t="n">
        <v>7.9</v>
      </c>
      <c r="F88" s="89" t="n">
        <v>6.5</v>
      </c>
      <c r="G88" s="89" t="n">
        <v>8.2</v>
      </c>
      <c r="H88" s="89" t="n">
        <v>8.2</v>
      </c>
      <c r="I88" s="89" t="n">
        <v>7.1</v>
      </c>
      <c r="J88" s="89" t="n">
        <v>6.6</v>
      </c>
      <c r="K88" s="89" t="n">
        <v>7.6</v>
      </c>
      <c r="L88" s="89" t="n">
        <v>7.8</v>
      </c>
      <c r="M88" s="89" t="n">
        <v>6.9</v>
      </c>
      <c r="N88" s="89" t="n">
        <v>7.5</v>
      </c>
      <c r="O88" s="89" t="n">
        <v>7.8</v>
      </c>
      <c r="P88" s="89" t="n">
        <v>6.5</v>
      </c>
      <c r="Q88" s="89" t="n">
        <f aca="false">AVERAGE(E88:P88)</f>
        <v>7.38333333333333</v>
      </c>
      <c r="R88" s="90" t="str">
        <f aca="false">IF(Q88&lt;8,"⚠ Below 8 Hrs","")</f>
        <v>⚠ Below 8 Hrs</v>
      </c>
    </row>
    <row r="89" customFormat="false" ht="15.75" hidden="false" customHeight="true" outlineLevel="0" collapsed="false">
      <c r="A89" s="77" t="s">
        <v>335</v>
      </c>
      <c r="B89" s="77" t="s">
        <v>336</v>
      </c>
      <c r="C89" s="77" t="s">
        <v>37</v>
      </c>
      <c r="D89" s="77" t="s">
        <v>62</v>
      </c>
      <c r="E89" s="91" t="n">
        <v>7.9</v>
      </c>
      <c r="F89" s="91" t="n">
        <v>8.5</v>
      </c>
      <c r="G89" s="91" t="n">
        <v>9.8</v>
      </c>
      <c r="H89" s="91" t="n">
        <v>7.7</v>
      </c>
      <c r="I89" s="91" t="n">
        <v>9.7</v>
      </c>
      <c r="J89" s="91" t="n">
        <v>9.2</v>
      </c>
      <c r="K89" s="91" t="n">
        <v>7.8</v>
      </c>
      <c r="L89" s="91" t="n">
        <v>7.6</v>
      </c>
      <c r="M89" s="91" t="n">
        <v>8.1</v>
      </c>
      <c r="N89" s="91" t="n">
        <v>8.1</v>
      </c>
      <c r="O89" s="91" t="n">
        <v>7.9</v>
      </c>
      <c r="P89" s="91" t="n">
        <v>9.4</v>
      </c>
      <c r="Q89" s="91" t="n">
        <f aca="false">AVERAGE(E89:P89)</f>
        <v>8.475</v>
      </c>
      <c r="R89" s="92" t="str">
        <f aca="false">IF(Q89&lt;8,"⚠ Below 8 Hrs","")</f>
        <v/>
      </c>
    </row>
    <row r="90" customFormat="false" ht="15.75" hidden="false" customHeight="true" outlineLevel="0" collapsed="false">
      <c r="A90" s="88" t="s">
        <v>85</v>
      </c>
      <c r="B90" s="88" t="s">
        <v>337</v>
      </c>
      <c r="C90" s="88" t="s">
        <v>45</v>
      </c>
      <c r="D90" s="88" t="s">
        <v>62</v>
      </c>
      <c r="E90" s="89" t="n">
        <v>7.2</v>
      </c>
      <c r="F90" s="89" t="n">
        <v>8.3</v>
      </c>
      <c r="G90" s="89" t="n">
        <v>6.1</v>
      </c>
      <c r="H90" s="89" t="n">
        <v>8.3</v>
      </c>
      <c r="I90" s="89" t="n">
        <v>7.5</v>
      </c>
      <c r="J90" s="89" t="n">
        <v>7.9</v>
      </c>
      <c r="K90" s="89" t="n">
        <v>7.6</v>
      </c>
      <c r="L90" s="89" t="n">
        <v>8.1</v>
      </c>
      <c r="M90" s="89" t="n">
        <v>6.8</v>
      </c>
      <c r="N90" s="89" t="n">
        <v>8</v>
      </c>
      <c r="O90" s="89" t="n">
        <v>7.4</v>
      </c>
      <c r="P90" s="89" t="n">
        <v>6.2</v>
      </c>
      <c r="Q90" s="89" t="n">
        <f aca="false">AVERAGE(E90:P90)</f>
        <v>7.45</v>
      </c>
      <c r="R90" s="90" t="str">
        <f aca="false">IF(Q90&lt;8,"⚠ Below 8 Hrs","")</f>
        <v>⚠ Below 8 Hrs</v>
      </c>
    </row>
    <row r="91" customFormat="false" ht="15.75" hidden="false" customHeight="true" outlineLevel="0" collapsed="false">
      <c r="A91" s="77" t="s">
        <v>61</v>
      </c>
      <c r="B91" s="77" t="s">
        <v>338</v>
      </c>
      <c r="C91" s="77" t="s">
        <v>33</v>
      </c>
      <c r="D91" s="77" t="s">
        <v>62</v>
      </c>
      <c r="E91" s="91" t="n">
        <v>8.7</v>
      </c>
      <c r="F91" s="91" t="n">
        <v>9.7</v>
      </c>
      <c r="G91" s="91" t="n">
        <v>8.7</v>
      </c>
      <c r="H91" s="91" t="n">
        <v>9.3</v>
      </c>
      <c r="I91" s="91" t="n">
        <v>7.9</v>
      </c>
      <c r="J91" s="91" t="n">
        <v>8.7</v>
      </c>
      <c r="K91" s="91" t="n">
        <v>8.4</v>
      </c>
      <c r="L91" s="91" t="n">
        <v>8.3</v>
      </c>
      <c r="M91" s="91" t="n">
        <v>9.5</v>
      </c>
      <c r="N91" s="91" t="n">
        <v>9</v>
      </c>
      <c r="O91" s="91" t="n">
        <v>8.3</v>
      </c>
      <c r="P91" s="91" t="n">
        <v>8.2</v>
      </c>
      <c r="Q91" s="91" t="n">
        <f aca="false">AVERAGE(E91:P91)</f>
        <v>8.725</v>
      </c>
      <c r="R91" s="92" t="str">
        <f aca="false">IF(Q91&lt;8,"⚠ Below 8 Hrs","")</f>
        <v/>
      </c>
    </row>
    <row r="92" customFormat="false" ht="15.75" hidden="false" customHeight="true" outlineLevel="0" collapsed="false">
      <c r="A92" s="75" t="s">
        <v>63</v>
      </c>
      <c r="B92" s="75" t="s">
        <v>339</v>
      </c>
      <c r="C92" s="75" t="s">
        <v>45</v>
      </c>
      <c r="D92" s="75" t="s">
        <v>62</v>
      </c>
      <c r="E92" s="93" t="n">
        <v>8.9</v>
      </c>
      <c r="F92" s="93" t="n">
        <v>8.6</v>
      </c>
      <c r="G92" s="93" t="n">
        <v>8.8</v>
      </c>
      <c r="H92" s="93" t="n">
        <v>9.2</v>
      </c>
      <c r="I92" s="93" t="n">
        <v>9</v>
      </c>
      <c r="J92" s="93" t="n">
        <v>7.8</v>
      </c>
      <c r="K92" s="93" t="n">
        <v>8.3</v>
      </c>
      <c r="L92" s="93" t="n">
        <v>8.1</v>
      </c>
      <c r="M92" s="93" t="n">
        <v>9</v>
      </c>
      <c r="N92" s="93" t="n">
        <v>9.6</v>
      </c>
      <c r="O92" s="93" t="n">
        <v>8.1</v>
      </c>
      <c r="P92" s="93" t="n">
        <v>7.6</v>
      </c>
      <c r="Q92" s="93" t="n">
        <f aca="false">AVERAGE(E92:P92)</f>
        <v>8.58333333333333</v>
      </c>
      <c r="R92" s="94" t="str">
        <f aca="false">IF(Q92&lt;8,"⚠ Below 8 Hrs","")</f>
        <v/>
      </c>
    </row>
    <row r="93" customFormat="false" ht="15.75" hidden="false" customHeight="true" outlineLevel="0" collapsed="false">
      <c r="A93" s="77" t="s">
        <v>340</v>
      </c>
      <c r="B93" s="77" t="s">
        <v>341</v>
      </c>
      <c r="C93" s="77" t="s">
        <v>46</v>
      </c>
      <c r="D93" s="77" t="s">
        <v>62</v>
      </c>
      <c r="E93" s="91" t="n">
        <v>8.4</v>
      </c>
      <c r="F93" s="91" t="n">
        <v>9.3</v>
      </c>
      <c r="G93" s="91" t="n">
        <v>7.8</v>
      </c>
      <c r="H93" s="91" t="n">
        <v>8.1</v>
      </c>
      <c r="I93" s="91" t="n">
        <v>9.2</v>
      </c>
      <c r="J93" s="91" t="n">
        <v>7.6</v>
      </c>
      <c r="K93" s="91" t="n">
        <v>8.7</v>
      </c>
      <c r="L93" s="91" t="n">
        <v>9.3</v>
      </c>
      <c r="M93" s="91" t="n">
        <v>8.7</v>
      </c>
      <c r="N93" s="91" t="n">
        <v>8.7</v>
      </c>
      <c r="O93" s="91" t="n">
        <v>8.6</v>
      </c>
      <c r="P93" s="91" t="n">
        <v>8.2</v>
      </c>
      <c r="Q93" s="91" t="n">
        <f aca="false">AVERAGE(E93:P93)</f>
        <v>8.55</v>
      </c>
      <c r="R93" s="92" t="str">
        <f aca="false">IF(Q93&lt;8,"⚠ Below 8 Hrs","")</f>
        <v/>
      </c>
    </row>
    <row r="94" customFormat="false" ht="15.75" hidden="false" customHeight="true" outlineLevel="0" collapsed="false">
      <c r="A94" s="75" t="s">
        <v>342</v>
      </c>
      <c r="B94" s="75" t="s">
        <v>343</v>
      </c>
      <c r="C94" s="75" t="s">
        <v>39</v>
      </c>
      <c r="D94" s="75" t="s">
        <v>62</v>
      </c>
      <c r="E94" s="93" t="n">
        <v>8.2</v>
      </c>
      <c r="F94" s="93" t="n">
        <v>7.7</v>
      </c>
      <c r="G94" s="93" t="n">
        <v>7.7</v>
      </c>
      <c r="H94" s="93" t="n">
        <v>9.7</v>
      </c>
      <c r="I94" s="93" t="n">
        <v>9.3</v>
      </c>
      <c r="J94" s="93" t="n">
        <v>8.7</v>
      </c>
      <c r="K94" s="93" t="n">
        <v>8.9</v>
      </c>
      <c r="L94" s="93" t="n">
        <v>8</v>
      </c>
      <c r="M94" s="93" t="n">
        <v>8.9</v>
      </c>
      <c r="N94" s="93" t="n">
        <v>8</v>
      </c>
      <c r="O94" s="93" t="n">
        <v>9.1</v>
      </c>
      <c r="P94" s="93" t="n">
        <v>9.4</v>
      </c>
      <c r="Q94" s="93" t="n">
        <f aca="false">AVERAGE(E94:P94)</f>
        <v>8.63333333333333</v>
      </c>
      <c r="R94" s="94" t="str">
        <f aca="false">IF(Q94&lt;8,"⚠ Below 8 Hrs","")</f>
        <v/>
      </c>
    </row>
    <row r="95" customFormat="false" ht="15.75" hidden="false" customHeight="true" outlineLevel="0" collapsed="false">
      <c r="A95" s="77" t="s">
        <v>344</v>
      </c>
      <c r="B95" s="77" t="s">
        <v>345</v>
      </c>
      <c r="C95" s="77" t="s">
        <v>39</v>
      </c>
      <c r="D95" s="77" t="s">
        <v>62</v>
      </c>
      <c r="E95" s="91" t="n">
        <v>9.4</v>
      </c>
      <c r="F95" s="91" t="n">
        <v>9.5</v>
      </c>
      <c r="G95" s="91" t="n">
        <v>9.2</v>
      </c>
      <c r="H95" s="91" t="n">
        <v>8.5</v>
      </c>
      <c r="I95" s="91" t="n">
        <v>9.4</v>
      </c>
      <c r="J95" s="91" t="n">
        <v>7.7</v>
      </c>
      <c r="K95" s="91" t="n">
        <v>9.1</v>
      </c>
      <c r="L95" s="91" t="n">
        <v>7.6</v>
      </c>
      <c r="M95" s="91" t="n">
        <v>9.1</v>
      </c>
      <c r="N95" s="91" t="n">
        <v>7.6</v>
      </c>
      <c r="O95" s="91" t="n">
        <v>7.7</v>
      </c>
      <c r="P95" s="91" t="n">
        <v>7.9</v>
      </c>
      <c r="Q95" s="91" t="n">
        <f aca="false">AVERAGE(E95:P95)</f>
        <v>8.55833333333333</v>
      </c>
      <c r="R95" s="92" t="str">
        <f aca="false">IF(Q95&lt;8,"⚠ Below 8 Hrs","")</f>
        <v/>
      </c>
    </row>
    <row r="96" customFormat="false" ht="15.75" hidden="false" customHeight="true" outlineLevel="0" collapsed="false">
      <c r="A96" s="75" t="s">
        <v>346</v>
      </c>
      <c r="B96" s="75" t="s">
        <v>347</v>
      </c>
      <c r="C96" s="75" t="s">
        <v>33</v>
      </c>
      <c r="D96" s="75" t="s">
        <v>62</v>
      </c>
      <c r="E96" s="93" t="n">
        <v>7.7</v>
      </c>
      <c r="F96" s="93" t="n">
        <v>9.4</v>
      </c>
      <c r="G96" s="93" t="n">
        <v>9.6</v>
      </c>
      <c r="H96" s="93" t="n">
        <v>8.4</v>
      </c>
      <c r="I96" s="93" t="n">
        <v>8.5</v>
      </c>
      <c r="J96" s="93" t="n">
        <v>8.4</v>
      </c>
      <c r="K96" s="93" t="n">
        <v>8.2</v>
      </c>
      <c r="L96" s="93" t="n">
        <v>8.4</v>
      </c>
      <c r="M96" s="93" t="n">
        <v>7.8</v>
      </c>
      <c r="N96" s="93" t="n">
        <v>7.5</v>
      </c>
      <c r="O96" s="93" t="n">
        <v>9.2</v>
      </c>
      <c r="P96" s="93" t="n">
        <v>7.6</v>
      </c>
      <c r="Q96" s="93" t="n">
        <f aca="false">AVERAGE(E96:P96)</f>
        <v>8.39166666666667</v>
      </c>
      <c r="R96" s="94" t="str">
        <f aca="false">IF(Q96&lt;8,"⚠ Below 8 Hrs","")</f>
        <v/>
      </c>
    </row>
    <row r="97" customFormat="false" ht="15.75" hidden="false" customHeight="true" outlineLevel="0" collapsed="false">
      <c r="A97" s="77" t="s">
        <v>348</v>
      </c>
      <c r="B97" s="77" t="s">
        <v>349</v>
      </c>
      <c r="C97" s="77" t="s">
        <v>35</v>
      </c>
      <c r="D97" s="77" t="s">
        <v>62</v>
      </c>
      <c r="E97" s="91" t="n">
        <v>7.6</v>
      </c>
      <c r="F97" s="91" t="n">
        <v>9.5</v>
      </c>
      <c r="G97" s="91" t="n">
        <v>8.3</v>
      </c>
      <c r="H97" s="91" t="n">
        <v>8.7</v>
      </c>
      <c r="I97" s="91" t="n">
        <v>8.2</v>
      </c>
      <c r="J97" s="91" t="n">
        <v>9.1</v>
      </c>
      <c r="K97" s="91" t="n">
        <v>8.9</v>
      </c>
      <c r="L97" s="91" t="n">
        <v>8.1</v>
      </c>
      <c r="M97" s="91" t="n">
        <v>9.6</v>
      </c>
      <c r="N97" s="91" t="n">
        <v>8.4</v>
      </c>
      <c r="O97" s="91" t="n">
        <v>9.4</v>
      </c>
      <c r="P97" s="91" t="n">
        <v>7.6</v>
      </c>
      <c r="Q97" s="91" t="n">
        <f aca="false">AVERAGE(E97:P97)</f>
        <v>8.61666666666667</v>
      </c>
      <c r="R97" s="92" t="str">
        <f aca="false">IF(Q97&lt;8,"⚠ Below 8 Hrs","")</f>
        <v/>
      </c>
    </row>
    <row r="98" customFormat="false" ht="15.75" hidden="false" customHeight="true" outlineLevel="0" collapsed="false">
      <c r="A98" s="88" t="s">
        <v>350</v>
      </c>
      <c r="B98" s="88" t="s">
        <v>351</v>
      </c>
      <c r="C98" s="88" t="s">
        <v>39</v>
      </c>
      <c r="D98" s="88" t="s">
        <v>62</v>
      </c>
      <c r="E98" s="89" t="n">
        <v>6.5</v>
      </c>
      <c r="F98" s="89" t="n">
        <v>7.9</v>
      </c>
      <c r="G98" s="89" t="n">
        <v>8</v>
      </c>
      <c r="H98" s="89" t="n">
        <v>8.1</v>
      </c>
      <c r="I98" s="89" t="n">
        <v>6.7</v>
      </c>
      <c r="J98" s="89" t="n">
        <v>7.6</v>
      </c>
      <c r="K98" s="89" t="n">
        <v>6.7</v>
      </c>
      <c r="L98" s="89" t="n">
        <v>8.2</v>
      </c>
      <c r="M98" s="89" t="n">
        <v>8.4</v>
      </c>
      <c r="N98" s="89" t="n">
        <v>8.2</v>
      </c>
      <c r="O98" s="89" t="n">
        <v>7.6</v>
      </c>
      <c r="P98" s="89" t="n">
        <v>8.4</v>
      </c>
      <c r="Q98" s="89" t="n">
        <f aca="false">AVERAGE(E98:P98)</f>
        <v>7.69166666666667</v>
      </c>
      <c r="R98" s="90" t="str">
        <f aca="false">IF(Q98&lt;8,"⚠ Below 8 Hrs","")</f>
        <v>⚠ Below 8 Hrs</v>
      </c>
    </row>
    <row r="99" customFormat="false" ht="15.75" hidden="false" customHeight="true" outlineLevel="0" collapsed="false">
      <c r="A99" s="88" t="s">
        <v>352</v>
      </c>
      <c r="B99" s="88" t="s">
        <v>353</v>
      </c>
      <c r="C99" s="88" t="s">
        <v>44</v>
      </c>
      <c r="D99" s="88" t="s">
        <v>62</v>
      </c>
      <c r="E99" s="89" t="n">
        <v>8.2</v>
      </c>
      <c r="F99" s="89" t="n">
        <v>6.4</v>
      </c>
      <c r="G99" s="89" t="n">
        <v>6.1</v>
      </c>
      <c r="H99" s="89" t="n">
        <v>7.4</v>
      </c>
      <c r="I99" s="89" t="n">
        <v>7</v>
      </c>
      <c r="J99" s="89" t="n">
        <v>7.4</v>
      </c>
      <c r="K99" s="89" t="n">
        <v>6.2</v>
      </c>
      <c r="L99" s="89" t="n">
        <v>6.5</v>
      </c>
      <c r="M99" s="89" t="n">
        <v>7.9</v>
      </c>
      <c r="N99" s="89" t="n">
        <v>7.8</v>
      </c>
      <c r="O99" s="89" t="n">
        <v>6.5</v>
      </c>
      <c r="P99" s="89" t="n">
        <v>8.3</v>
      </c>
      <c r="Q99" s="89" t="n">
        <f aca="false">AVERAGE(E99:P99)</f>
        <v>7.14166666666667</v>
      </c>
      <c r="R99" s="90" t="str">
        <f aca="false">IF(Q99&lt;8,"⚠ Below 8 Hrs","")</f>
        <v>⚠ Below 8 Hrs</v>
      </c>
    </row>
    <row r="100" customFormat="false" ht="15.75" hidden="false" customHeight="true" outlineLevel="0" collapsed="false">
      <c r="A100" s="75" t="s">
        <v>354</v>
      </c>
      <c r="B100" s="75" t="s">
        <v>355</v>
      </c>
      <c r="C100" s="75" t="s">
        <v>44</v>
      </c>
      <c r="D100" s="75" t="s">
        <v>62</v>
      </c>
      <c r="E100" s="93" t="n">
        <v>7.8</v>
      </c>
      <c r="F100" s="93" t="n">
        <v>7.9</v>
      </c>
      <c r="G100" s="93" t="n">
        <v>8.9</v>
      </c>
      <c r="H100" s="93" t="n">
        <v>8.1</v>
      </c>
      <c r="I100" s="93" t="n">
        <v>7.8</v>
      </c>
      <c r="J100" s="93" t="n">
        <v>9</v>
      </c>
      <c r="K100" s="93" t="n">
        <v>8.8</v>
      </c>
      <c r="L100" s="93" t="n">
        <v>7.6</v>
      </c>
      <c r="M100" s="93" t="n">
        <v>9.2</v>
      </c>
      <c r="N100" s="93" t="n">
        <v>9.8</v>
      </c>
      <c r="O100" s="93" t="n">
        <v>8.8</v>
      </c>
      <c r="P100" s="93" t="n">
        <v>9</v>
      </c>
      <c r="Q100" s="93" t="n">
        <f aca="false">AVERAGE(E100:P100)</f>
        <v>8.55833333333333</v>
      </c>
      <c r="R100" s="94" t="str">
        <f aca="false">IF(Q100&lt;8,"⚠ Below 8 Hrs","")</f>
        <v/>
      </c>
    </row>
    <row r="101" customFormat="false" ht="15.75" hidden="false" customHeight="true" outlineLevel="0" collapsed="false">
      <c r="A101" s="88" t="s">
        <v>356</v>
      </c>
      <c r="B101" s="88" t="s">
        <v>357</v>
      </c>
      <c r="C101" s="88" t="s">
        <v>39</v>
      </c>
      <c r="D101" s="88" t="s">
        <v>62</v>
      </c>
      <c r="E101" s="89" t="n">
        <v>7.7</v>
      </c>
      <c r="F101" s="89" t="n">
        <v>6.6</v>
      </c>
      <c r="G101" s="89" t="n">
        <v>6.5</v>
      </c>
      <c r="H101" s="89" t="n">
        <v>7.5</v>
      </c>
      <c r="I101" s="89" t="n">
        <v>8.4</v>
      </c>
      <c r="J101" s="89" t="n">
        <v>6.9</v>
      </c>
      <c r="K101" s="89" t="n">
        <v>7.7</v>
      </c>
      <c r="L101" s="89" t="n">
        <v>6.6</v>
      </c>
      <c r="M101" s="89" t="n">
        <v>6.7</v>
      </c>
      <c r="N101" s="89" t="n">
        <v>6.2</v>
      </c>
      <c r="O101" s="89" t="n">
        <v>6.5</v>
      </c>
      <c r="P101" s="89" t="n">
        <v>7.2</v>
      </c>
      <c r="Q101" s="89" t="n">
        <f aca="false">AVERAGE(E101:P101)</f>
        <v>7.04166666666667</v>
      </c>
      <c r="R101" s="90" t="str">
        <f aca="false">IF(Q101&lt;8,"⚠ Below 8 Hrs","")</f>
        <v>⚠ Below 8 Hrs</v>
      </c>
    </row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J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8" min="7" style="0" width="21"/>
    <col collapsed="false" customWidth="true" hidden="false" outlineLevel="0" max="9" min="9" style="0" width="13"/>
    <col collapsed="false" customWidth="true" hidden="false" outlineLevel="0" max="10" min="10" style="0" width="21"/>
    <col collapsed="false" customWidth="true" hidden="false" outlineLevel="0" max="26" min="11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358</v>
      </c>
      <c r="E1" s="74" t="s">
        <v>404</v>
      </c>
      <c r="F1" s="74" t="s">
        <v>405</v>
      </c>
      <c r="G1" s="74" t="s">
        <v>406</v>
      </c>
      <c r="H1" s="74" t="s">
        <v>407</v>
      </c>
      <c r="I1" s="74" t="s">
        <v>408</v>
      </c>
      <c r="J1" s="74" t="s">
        <v>409</v>
      </c>
    </row>
    <row r="2" customFormat="false" ht="15" hidden="false" customHeight="false" outlineLevel="0" collapsed="false">
      <c r="A2" s="75" t="s">
        <v>81</v>
      </c>
      <c r="B2" s="75" t="s">
        <v>250</v>
      </c>
      <c r="C2" s="75" t="s">
        <v>42</v>
      </c>
      <c r="D2" s="75" t="s">
        <v>56</v>
      </c>
      <c r="E2" s="75" t="s">
        <v>410</v>
      </c>
      <c r="F2" s="95" t="s">
        <v>411</v>
      </c>
      <c r="G2" s="76" t="n">
        <v>46047</v>
      </c>
      <c r="H2" s="75" t="s">
        <v>412</v>
      </c>
      <c r="I2" s="75" t="s">
        <v>413</v>
      </c>
      <c r="J2" s="75" t="s">
        <v>414</v>
      </c>
    </row>
    <row r="3" customFormat="false" ht="15" hidden="false" customHeight="false" outlineLevel="0" collapsed="false">
      <c r="A3" s="77" t="s">
        <v>82</v>
      </c>
      <c r="B3" s="77" t="s">
        <v>319</v>
      </c>
      <c r="C3" s="77" t="s">
        <v>44</v>
      </c>
      <c r="D3" s="77" t="s">
        <v>62</v>
      </c>
      <c r="E3" s="77" t="s">
        <v>415</v>
      </c>
      <c r="F3" s="96" t="s">
        <v>416</v>
      </c>
      <c r="G3" s="78" t="n">
        <v>46031</v>
      </c>
      <c r="H3" s="77" t="s">
        <v>417</v>
      </c>
      <c r="I3" s="77" t="s">
        <v>418</v>
      </c>
      <c r="J3" s="77" t="s">
        <v>414</v>
      </c>
    </row>
    <row r="4" customFormat="false" ht="15" hidden="false" customHeight="false" outlineLevel="0" collapsed="false">
      <c r="A4" s="75" t="s">
        <v>83</v>
      </c>
      <c r="B4" s="75" t="s">
        <v>329</v>
      </c>
      <c r="C4" s="75" t="s">
        <v>41</v>
      </c>
      <c r="D4" s="75" t="s">
        <v>62</v>
      </c>
      <c r="E4" s="75" t="s">
        <v>419</v>
      </c>
      <c r="F4" s="96" t="s">
        <v>416</v>
      </c>
      <c r="G4" s="76" t="n">
        <v>46096</v>
      </c>
      <c r="H4" s="75" t="s">
        <v>412</v>
      </c>
      <c r="I4" s="75" t="s">
        <v>413</v>
      </c>
      <c r="J4" s="75" t="s">
        <v>414</v>
      </c>
    </row>
    <row r="5" customFormat="false" ht="15" hidden="false" customHeight="false" outlineLevel="0" collapsed="false">
      <c r="A5" s="77" t="s">
        <v>84</v>
      </c>
      <c r="B5" s="77" t="s">
        <v>244</v>
      </c>
      <c r="C5" s="77" t="s">
        <v>35</v>
      </c>
      <c r="D5" s="77" t="s">
        <v>56</v>
      </c>
      <c r="E5" s="77" t="s">
        <v>419</v>
      </c>
      <c r="F5" s="96" t="s">
        <v>416</v>
      </c>
      <c r="G5" s="78" t="n">
        <v>46039</v>
      </c>
      <c r="H5" s="77" t="s">
        <v>420</v>
      </c>
      <c r="I5" s="77" t="s">
        <v>421</v>
      </c>
      <c r="J5" s="77" t="s">
        <v>414</v>
      </c>
    </row>
    <row r="6" customFormat="false" ht="15" hidden="false" customHeight="false" outlineLevel="0" collapsed="false">
      <c r="A6" s="75" t="s">
        <v>85</v>
      </c>
      <c r="B6" s="75" t="s">
        <v>337</v>
      </c>
      <c r="C6" s="75" t="s">
        <v>45</v>
      </c>
      <c r="D6" s="75" t="s">
        <v>62</v>
      </c>
      <c r="E6" s="75" t="s">
        <v>422</v>
      </c>
      <c r="F6" s="95" t="s">
        <v>411</v>
      </c>
      <c r="G6" s="76" t="n">
        <v>46116</v>
      </c>
      <c r="H6" s="75" t="s">
        <v>423</v>
      </c>
      <c r="I6" s="75" t="s">
        <v>413</v>
      </c>
      <c r="J6" s="75" t="s">
        <v>414</v>
      </c>
    </row>
    <row r="7" customFormat="false" ht="15" hidden="false" customHeight="false" outlineLevel="0" collapsed="false">
      <c r="A7" s="77" t="s">
        <v>86</v>
      </c>
      <c r="B7" s="77" t="s">
        <v>311</v>
      </c>
      <c r="C7" s="77" t="s">
        <v>41</v>
      </c>
      <c r="D7" s="77" t="s">
        <v>62</v>
      </c>
      <c r="E7" s="77" t="s">
        <v>422</v>
      </c>
      <c r="F7" s="97" t="s">
        <v>424</v>
      </c>
      <c r="G7" s="78" t="n">
        <v>46029</v>
      </c>
      <c r="H7" s="77" t="s">
        <v>425</v>
      </c>
      <c r="I7" s="77" t="s">
        <v>413</v>
      </c>
      <c r="J7" s="77" t="s">
        <v>414</v>
      </c>
    </row>
    <row r="8" customFormat="false" ht="15" hidden="false" customHeight="false" outlineLevel="0" collapsed="false">
      <c r="A8" s="75" t="s">
        <v>87</v>
      </c>
      <c r="B8" s="75" t="s">
        <v>204</v>
      </c>
      <c r="C8" s="75" t="s">
        <v>45</v>
      </c>
      <c r="D8" s="75" t="s">
        <v>56</v>
      </c>
      <c r="E8" s="75" t="s">
        <v>426</v>
      </c>
      <c r="F8" s="95" t="s">
        <v>411</v>
      </c>
      <c r="G8" s="76" t="n">
        <v>46045</v>
      </c>
      <c r="H8" s="75" t="s">
        <v>417</v>
      </c>
      <c r="I8" s="75" t="s">
        <v>421</v>
      </c>
      <c r="J8" s="75" t="s">
        <v>414</v>
      </c>
    </row>
    <row r="9" customFormat="false" ht="15" hidden="false" customHeight="false" outlineLevel="0" collapsed="false">
      <c r="A9" s="77" t="s">
        <v>88</v>
      </c>
      <c r="B9" s="77" t="s">
        <v>308</v>
      </c>
      <c r="C9" s="77" t="s">
        <v>39</v>
      </c>
      <c r="D9" s="77" t="s">
        <v>62</v>
      </c>
      <c r="E9" s="77" t="s">
        <v>410</v>
      </c>
      <c r="F9" s="95" t="s">
        <v>411</v>
      </c>
      <c r="G9" s="78" t="n">
        <v>46136</v>
      </c>
      <c r="H9" s="77" t="s">
        <v>423</v>
      </c>
      <c r="I9" s="77" t="s">
        <v>418</v>
      </c>
      <c r="J9" s="77" t="s">
        <v>414</v>
      </c>
    </row>
    <row r="10" customFormat="false" ht="15" hidden="false" customHeight="false" outlineLevel="0" collapsed="false">
      <c r="A10" s="75" t="s">
        <v>74</v>
      </c>
      <c r="B10" s="75" t="s">
        <v>258</v>
      </c>
      <c r="C10" s="75" t="s">
        <v>37</v>
      </c>
      <c r="D10" s="75" t="s">
        <v>56</v>
      </c>
      <c r="E10" s="75" t="s">
        <v>422</v>
      </c>
      <c r="F10" s="96" t="s">
        <v>416</v>
      </c>
      <c r="G10" s="76" t="n">
        <v>46064</v>
      </c>
      <c r="H10" s="75" t="s">
        <v>425</v>
      </c>
      <c r="I10" s="75" t="s">
        <v>421</v>
      </c>
      <c r="J10" s="75" t="s">
        <v>414</v>
      </c>
    </row>
    <row r="11" customFormat="false" ht="15" hidden="false" customHeight="false" outlineLevel="0" collapsed="false">
      <c r="A11" s="77" t="s">
        <v>89</v>
      </c>
      <c r="B11" s="77" t="s">
        <v>246</v>
      </c>
      <c r="C11" s="77" t="s">
        <v>33</v>
      </c>
      <c r="D11" s="77" t="s">
        <v>56</v>
      </c>
      <c r="E11" s="77" t="s">
        <v>422</v>
      </c>
      <c r="F11" s="96" t="s">
        <v>416</v>
      </c>
      <c r="G11" s="78" t="n">
        <v>46068</v>
      </c>
      <c r="H11" s="77" t="s">
        <v>420</v>
      </c>
      <c r="I11" s="77" t="s">
        <v>413</v>
      </c>
      <c r="J11" s="77" t="s">
        <v>414</v>
      </c>
    </row>
    <row r="12" customFormat="false" ht="15" hidden="false" customHeight="false" outlineLevel="0" collapsed="false">
      <c r="A12" s="75" t="s">
        <v>59</v>
      </c>
      <c r="B12" s="75" t="s">
        <v>272</v>
      </c>
      <c r="C12" s="75" t="s">
        <v>41</v>
      </c>
      <c r="D12" s="75" t="s">
        <v>56</v>
      </c>
      <c r="E12" s="75" t="s">
        <v>427</v>
      </c>
      <c r="F12" s="97" t="s">
        <v>424</v>
      </c>
      <c r="G12" s="76" t="n">
        <v>46055</v>
      </c>
      <c r="H12" s="75" t="s">
        <v>412</v>
      </c>
      <c r="I12" s="75" t="s">
        <v>421</v>
      </c>
      <c r="J12" s="75" t="s">
        <v>414</v>
      </c>
    </row>
    <row r="13" customFormat="false" ht="15" hidden="false" customHeight="false" outlineLevel="0" collapsed="false">
      <c r="A13" s="77" t="s">
        <v>90</v>
      </c>
      <c r="B13" s="77" t="s">
        <v>208</v>
      </c>
      <c r="C13" s="77" t="s">
        <v>35</v>
      </c>
      <c r="D13" s="77" t="s">
        <v>56</v>
      </c>
      <c r="E13" s="77" t="s">
        <v>410</v>
      </c>
      <c r="F13" s="95" t="s">
        <v>411</v>
      </c>
      <c r="G13" s="78" t="n">
        <v>46040</v>
      </c>
      <c r="H13" s="77" t="s">
        <v>428</v>
      </c>
      <c r="I13" s="77" t="s">
        <v>421</v>
      </c>
      <c r="J13" s="77" t="s">
        <v>414</v>
      </c>
    </row>
    <row r="14" customFormat="false" ht="15" hidden="false" customHeight="false" outlineLevel="0" collapsed="false">
      <c r="A14" s="75" t="s">
        <v>91</v>
      </c>
      <c r="B14" s="75" t="s">
        <v>130</v>
      </c>
      <c r="C14" s="75" t="s">
        <v>41</v>
      </c>
      <c r="D14" s="75" t="s">
        <v>56</v>
      </c>
      <c r="E14" s="75" t="s">
        <v>422</v>
      </c>
      <c r="F14" s="95" t="s">
        <v>411</v>
      </c>
      <c r="G14" s="76" t="n">
        <v>46079</v>
      </c>
      <c r="H14" s="75" t="s">
        <v>423</v>
      </c>
      <c r="I14" s="75" t="s">
        <v>413</v>
      </c>
      <c r="J14" s="75" t="s">
        <v>414</v>
      </c>
    </row>
    <row r="15" customFormat="false" ht="15" hidden="false" customHeight="false" outlineLevel="0" collapsed="false">
      <c r="A15" s="77" t="s">
        <v>92</v>
      </c>
      <c r="B15" s="77" t="s">
        <v>229</v>
      </c>
      <c r="C15" s="77" t="s">
        <v>37</v>
      </c>
      <c r="D15" s="77" t="s">
        <v>56</v>
      </c>
      <c r="E15" s="77" t="s">
        <v>426</v>
      </c>
      <c r="F15" s="95" t="s">
        <v>411</v>
      </c>
      <c r="G15" s="78" t="n">
        <v>46092</v>
      </c>
      <c r="H15" s="77" t="s">
        <v>417</v>
      </c>
      <c r="I15" s="77" t="s">
        <v>421</v>
      </c>
      <c r="J15" s="77" t="s">
        <v>414</v>
      </c>
    </row>
    <row r="16" customFormat="false" ht="15" hidden="false" customHeight="false" outlineLevel="0" collapsed="false">
      <c r="A16" s="75" t="s">
        <v>93</v>
      </c>
      <c r="B16" s="75" t="s">
        <v>224</v>
      </c>
      <c r="C16" s="75" t="s">
        <v>44</v>
      </c>
      <c r="D16" s="75" t="s">
        <v>56</v>
      </c>
      <c r="E16" s="75" t="s">
        <v>410</v>
      </c>
      <c r="F16" s="95" t="s">
        <v>411</v>
      </c>
      <c r="G16" s="76" t="n">
        <v>46030</v>
      </c>
      <c r="H16" s="75" t="s">
        <v>425</v>
      </c>
      <c r="I16" s="75" t="s">
        <v>418</v>
      </c>
      <c r="J16" s="75" t="s">
        <v>414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7" min="6" style="0" width="21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17"/>
    <col collapsed="false" customWidth="true" hidden="false" outlineLevel="0" max="26" min="12" style="0" width="8.71"/>
  </cols>
  <sheetData>
    <row r="1" customFormat="false" ht="15" hidden="false" customHeight="false" outlineLevel="0" collapsed="false">
      <c r="A1" s="74" t="s">
        <v>121</v>
      </c>
      <c r="B1" s="74" t="s">
        <v>122</v>
      </c>
      <c r="C1" s="74" t="s">
        <v>123</v>
      </c>
      <c r="D1" s="74" t="s">
        <v>358</v>
      </c>
      <c r="E1" s="74" t="s">
        <v>124</v>
      </c>
      <c r="F1" s="74" t="s">
        <v>127</v>
      </c>
      <c r="G1" s="74" t="s">
        <v>429</v>
      </c>
      <c r="H1" s="74" t="s">
        <v>430</v>
      </c>
      <c r="I1" s="74" t="s">
        <v>431</v>
      </c>
      <c r="J1" s="74" t="s">
        <v>432</v>
      </c>
      <c r="K1" s="74" t="s">
        <v>433</v>
      </c>
    </row>
    <row r="2" customFormat="false" ht="15" hidden="false" customHeight="false" outlineLevel="0" collapsed="false">
      <c r="A2" s="75" t="s">
        <v>276</v>
      </c>
      <c r="B2" s="75" t="s">
        <v>277</v>
      </c>
      <c r="C2" s="75" t="s">
        <v>46</v>
      </c>
      <c r="D2" s="75" t="s">
        <v>56</v>
      </c>
      <c r="E2" s="75" t="s">
        <v>214</v>
      </c>
      <c r="F2" s="76" t="n">
        <v>44965</v>
      </c>
      <c r="G2" s="76" t="n">
        <v>45730</v>
      </c>
      <c r="H2" s="75" t="s">
        <v>434</v>
      </c>
      <c r="I2" s="75" t="s">
        <v>32</v>
      </c>
      <c r="J2" s="75" t="s">
        <v>435</v>
      </c>
      <c r="K2" s="75" t="s">
        <v>436</v>
      </c>
    </row>
    <row r="3" customFormat="false" ht="15" hidden="false" customHeight="false" outlineLevel="0" collapsed="false">
      <c r="A3" s="77" t="s">
        <v>69</v>
      </c>
      <c r="B3" s="77" t="s">
        <v>206</v>
      </c>
      <c r="C3" s="77" t="s">
        <v>45</v>
      </c>
      <c r="D3" s="77" t="s">
        <v>56</v>
      </c>
      <c r="E3" s="77" t="s">
        <v>207</v>
      </c>
      <c r="F3" s="78" t="n">
        <v>45262</v>
      </c>
      <c r="G3" s="78" t="n">
        <v>45719</v>
      </c>
      <c r="H3" s="77" t="s">
        <v>437</v>
      </c>
      <c r="I3" s="77" t="s">
        <v>32</v>
      </c>
      <c r="J3" s="77" t="s">
        <v>436</v>
      </c>
      <c r="K3" s="77" t="s">
        <v>435</v>
      </c>
    </row>
    <row r="4" customFormat="false" ht="15" hidden="false" customHeight="false" outlineLevel="0" collapsed="false">
      <c r="A4" s="75" t="s">
        <v>209</v>
      </c>
      <c r="B4" s="75" t="s">
        <v>210</v>
      </c>
      <c r="C4" s="75" t="s">
        <v>43</v>
      </c>
      <c r="D4" s="75" t="s">
        <v>56</v>
      </c>
      <c r="E4" s="75" t="s">
        <v>211</v>
      </c>
      <c r="F4" s="76" t="n">
        <v>44817</v>
      </c>
      <c r="G4" s="76" t="n">
        <v>45686</v>
      </c>
      <c r="H4" s="75" t="s">
        <v>438</v>
      </c>
      <c r="I4" s="75" t="s">
        <v>32</v>
      </c>
      <c r="J4" s="75" t="s">
        <v>436</v>
      </c>
      <c r="K4" s="75" t="s">
        <v>436</v>
      </c>
    </row>
    <row r="5" customFormat="false" ht="15" hidden="false" customHeight="false" outlineLevel="0" collapsed="false">
      <c r="A5" s="77" t="s">
        <v>88</v>
      </c>
      <c r="B5" s="77" t="s">
        <v>308</v>
      </c>
      <c r="C5" s="77" t="s">
        <v>39</v>
      </c>
      <c r="D5" s="77" t="s">
        <v>62</v>
      </c>
      <c r="E5" s="77" t="s">
        <v>169</v>
      </c>
      <c r="F5" s="78" t="n">
        <v>45533</v>
      </c>
      <c r="G5" s="78" t="n">
        <v>45687</v>
      </c>
      <c r="H5" s="77" t="s">
        <v>439</v>
      </c>
      <c r="I5" s="77" t="s">
        <v>32</v>
      </c>
      <c r="J5" s="77" t="s">
        <v>436</v>
      </c>
      <c r="K5" s="77" t="s">
        <v>436</v>
      </c>
    </row>
    <row r="6" customFormat="false" ht="15" hidden="false" customHeight="false" outlineLevel="0" collapsed="false">
      <c r="A6" s="75" t="s">
        <v>92</v>
      </c>
      <c r="B6" s="75" t="s">
        <v>229</v>
      </c>
      <c r="C6" s="75" t="s">
        <v>37</v>
      </c>
      <c r="D6" s="75" t="s">
        <v>56</v>
      </c>
      <c r="E6" s="75" t="s">
        <v>172</v>
      </c>
      <c r="F6" s="76" t="n">
        <v>45307</v>
      </c>
      <c r="G6" s="76" t="n">
        <v>45794</v>
      </c>
      <c r="H6" s="75" t="s">
        <v>438</v>
      </c>
      <c r="I6" s="75" t="s">
        <v>34</v>
      </c>
      <c r="J6" s="75" t="s">
        <v>436</v>
      </c>
      <c r="K6" s="75" t="s">
        <v>436</v>
      </c>
    </row>
    <row r="7" customFormat="false" ht="15" hidden="false" customHeight="false" outlineLevel="0" collapsed="false">
      <c r="A7" s="77" t="s">
        <v>154</v>
      </c>
      <c r="B7" s="77" t="s">
        <v>155</v>
      </c>
      <c r="C7" s="77" t="s">
        <v>37</v>
      </c>
      <c r="D7" s="77" t="s">
        <v>56</v>
      </c>
      <c r="E7" s="77" t="s">
        <v>156</v>
      </c>
      <c r="F7" s="78" t="n">
        <v>45669</v>
      </c>
      <c r="G7" s="78" t="n">
        <v>45806</v>
      </c>
      <c r="H7" s="77" t="s">
        <v>437</v>
      </c>
      <c r="I7" s="77" t="s">
        <v>34</v>
      </c>
      <c r="J7" s="77" t="s">
        <v>436</v>
      </c>
      <c r="K7" s="77" t="s">
        <v>436</v>
      </c>
    </row>
    <row r="8" customFormat="false" ht="15" hidden="false" customHeight="false" outlineLevel="0" collapsed="false">
      <c r="A8" s="75" t="s">
        <v>61</v>
      </c>
      <c r="B8" s="75" t="s">
        <v>338</v>
      </c>
      <c r="C8" s="75" t="s">
        <v>33</v>
      </c>
      <c r="D8" s="75" t="s">
        <v>62</v>
      </c>
      <c r="E8" s="75" t="s">
        <v>334</v>
      </c>
      <c r="F8" s="76" t="n">
        <v>45410</v>
      </c>
      <c r="G8" s="76" t="n">
        <v>45831</v>
      </c>
      <c r="H8" s="75" t="s">
        <v>440</v>
      </c>
      <c r="I8" s="75" t="s">
        <v>34</v>
      </c>
      <c r="J8" s="75" t="s">
        <v>436</v>
      </c>
      <c r="K8" s="75" t="s">
        <v>436</v>
      </c>
    </row>
    <row r="9" customFormat="false" ht="15" hidden="false" customHeight="false" outlineLevel="0" collapsed="false">
      <c r="A9" s="77" t="s">
        <v>93</v>
      </c>
      <c r="B9" s="77" t="s">
        <v>224</v>
      </c>
      <c r="C9" s="77" t="s">
        <v>44</v>
      </c>
      <c r="D9" s="77" t="s">
        <v>56</v>
      </c>
      <c r="E9" s="77" t="s">
        <v>220</v>
      </c>
      <c r="F9" s="78" t="n">
        <v>45215</v>
      </c>
      <c r="G9" s="78" t="n">
        <v>45838</v>
      </c>
      <c r="H9" s="77" t="s">
        <v>439</v>
      </c>
      <c r="I9" s="77" t="s">
        <v>34</v>
      </c>
      <c r="J9" s="77" t="s">
        <v>435</v>
      </c>
      <c r="K9" s="77" t="s">
        <v>436</v>
      </c>
    </row>
    <row r="10" customFormat="false" ht="15" hidden="false" customHeight="false" outlineLevel="0" collapsed="false">
      <c r="A10" s="75" t="s">
        <v>299</v>
      </c>
      <c r="B10" s="75" t="s">
        <v>300</v>
      </c>
      <c r="C10" s="75" t="s">
        <v>41</v>
      </c>
      <c r="D10" s="75" t="s">
        <v>56</v>
      </c>
      <c r="E10" s="75" t="s">
        <v>241</v>
      </c>
      <c r="F10" s="76" t="n">
        <v>45099</v>
      </c>
      <c r="G10" s="76" t="n">
        <v>45781</v>
      </c>
      <c r="H10" s="75" t="s">
        <v>434</v>
      </c>
      <c r="I10" s="75" t="s">
        <v>34</v>
      </c>
      <c r="J10" s="75" t="s">
        <v>435</v>
      </c>
      <c r="K10" s="75" t="s">
        <v>436</v>
      </c>
    </row>
    <row r="11" customFormat="false" ht="15" hidden="false" customHeight="false" outlineLevel="0" collapsed="false">
      <c r="A11" s="77" t="s">
        <v>342</v>
      </c>
      <c r="B11" s="77" t="s">
        <v>343</v>
      </c>
      <c r="C11" s="77" t="s">
        <v>39</v>
      </c>
      <c r="D11" s="77" t="s">
        <v>62</v>
      </c>
      <c r="E11" s="77" t="s">
        <v>169</v>
      </c>
      <c r="F11" s="78" t="n">
        <v>45396</v>
      </c>
      <c r="G11" s="78" t="n">
        <v>45871</v>
      </c>
      <c r="H11" s="77" t="s">
        <v>441</v>
      </c>
      <c r="I11" s="77" t="s">
        <v>36</v>
      </c>
      <c r="J11" s="77" t="s">
        <v>435</v>
      </c>
      <c r="K11" s="77" t="s">
        <v>436</v>
      </c>
    </row>
    <row r="12" customFormat="false" ht="15" hidden="false" customHeight="false" outlineLevel="0" collapsed="false">
      <c r="A12" s="75" t="s">
        <v>270</v>
      </c>
      <c r="B12" s="75" t="s">
        <v>271</v>
      </c>
      <c r="C12" s="75" t="s">
        <v>41</v>
      </c>
      <c r="D12" s="75" t="s">
        <v>56</v>
      </c>
      <c r="E12" s="75" t="s">
        <v>143</v>
      </c>
      <c r="F12" s="76" t="n">
        <v>45400</v>
      </c>
      <c r="G12" s="76" t="n">
        <v>45905</v>
      </c>
      <c r="H12" s="75" t="s">
        <v>442</v>
      </c>
      <c r="I12" s="75" t="s">
        <v>36</v>
      </c>
      <c r="J12" s="75" t="s">
        <v>436</v>
      </c>
      <c r="K12" s="75" t="s">
        <v>435</v>
      </c>
    </row>
    <row r="13" customFormat="false" ht="15" hidden="false" customHeight="false" outlineLevel="0" collapsed="false">
      <c r="A13" s="77" t="s">
        <v>266</v>
      </c>
      <c r="B13" s="77" t="s">
        <v>267</v>
      </c>
      <c r="C13" s="77" t="s">
        <v>35</v>
      </c>
      <c r="D13" s="77" t="s">
        <v>56</v>
      </c>
      <c r="E13" s="77" t="s">
        <v>180</v>
      </c>
      <c r="F13" s="78" t="n">
        <v>45295</v>
      </c>
      <c r="G13" s="78" t="n">
        <v>45883</v>
      </c>
      <c r="H13" s="77" t="s">
        <v>438</v>
      </c>
      <c r="I13" s="77" t="s">
        <v>36</v>
      </c>
      <c r="J13" s="77" t="s">
        <v>435</v>
      </c>
      <c r="K13" s="77" t="s">
        <v>435</v>
      </c>
    </row>
    <row r="14" customFormat="false" ht="15" hidden="false" customHeight="false" outlineLevel="0" collapsed="false">
      <c r="A14" s="75" t="s">
        <v>327</v>
      </c>
      <c r="B14" s="75" t="s">
        <v>328</v>
      </c>
      <c r="C14" s="75" t="s">
        <v>37</v>
      </c>
      <c r="D14" s="75" t="s">
        <v>62</v>
      </c>
      <c r="E14" s="75" t="s">
        <v>156</v>
      </c>
      <c r="F14" s="76" t="n">
        <v>45820</v>
      </c>
      <c r="G14" s="76" t="n">
        <v>45916</v>
      </c>
      <c r="H14" s="75" t="s">
        <v>434</v>
      </c>
      <c r="I14" s="75" t="s">
        <v>36</v>
      </c>
      <c r="J14" s="75" t="s">
        <v>436</v>
      </c>
      <c r="K14" s="75" t="s">
        <v>436</v>
      </c>
    </row>
    <row r="15" customFormat="false" ht="15" hidden="false" customHeight="false" outlineLevel="0" collapsed="false">
      <c r="A15" s="77" t="s">
        <v>173</v>
      </c>
      <c r="B15" s="77" t="s">
        <v>174</v>
      </c>
      <c r="C15" s="77" t="s">
        <v>33</v>
      </c>
      <c r="D15" s="77" t="s">
        <v>56</v>
      </c>
      <c r="E15" s="77" t="s">
        <v>175</v>
      </c>
      <c r="F15" s="78" t="n">
        <v>45636</v>
      </c>
      <c r="G15" s="78" t="n">
        <v>45895</v>
      </c>
      <c r="H15" s="77" t="s">
        <v>441</v>
      </c>
      <c r="I15" s="77" t="s">
        <v>36</v>
      </c>
      <c r="J15" s="77" t="s">
        <v>435</v>
      </c>
      <c r="K15" s="77" t="s">
        <v>436</v>
      </c>
    </row>
    <row r="16" customFormat="false" ht="15" hidden="false" customHeight="false" outlineLevel="0" collapsed="false">
      <c r="A16" s="75" t="s">
        <v>86</v>
      </c>
      <c r="B16" s="75" t="s">
        <v>311</v>
      </c>
      <c r="C16" s="75" t="s">
        <v>41</v>
      </c>
      <c r="D16" s="75" t="s">
        <v>62</v>
      </c>
      <c r="E16" s="75" t="s">
        <v>241</v>
      </c>
      <c r="F16" s="76" t="n">
        <v>45232</v>
      </c>
      <c r="G16" s="76" t="n">
        <v>45848</v>
      </c>
      <c r="H16" s="75" t="s">
        <v>439</v>
      </c>
      <c r="I16" s="75" t="s">
        <v>36</v>
      </c>
      <c r="J16" s="75" t="s">
        <v>436</v>
      </c>
      <c r="K16" s="75" t="s">
        <v>435</v>
      </c>
    </row>
    <row r="17" customFormat="false" ht="15" hidden="false" customHeight="false" outlineLevel="0" collapsed="false">
      <c r="A17" s="77" t="s">
        <v>212</v>
      </c>
      <c r="B17" s="77" t="s">
        <v>213</v>
      </c>
      <c r="C17" s="77" t="s">
        <v>46</v>
      </c>
      <c r="D17" s="77" t="s">
        <v>56</v>
      </c>
      <c r="E17" s="77" t="s">
        <v>214</v>
      </c>
      <c r="F17" s="78" t="n">
        <v>45184</v>
      </c>
      <c r="G17" s="78" t="n">
        <v>46008</v>
      </c>
      <c r="H17" s="77" t="s">
        <v>440</v>
      </c>
      <c r="I17" s="77" t="s">
        <v>38</v>
      </c>
      <c r="J17" s="77" t="s">
        <v>436</v>
      </c>
      <c r="K17" s="77" t="s">
        <v>435</v>
      </c>
    </row>
    <row r="18" customFormat="false" ht="15" hidden="false" customHeight="false" outlineLevel="0" collapsed="false">
      <c r="A18" s="75" t="s">
        <v>221</v>
      </c>
      <c r="B18" s="75" t="s">
        <v>222</v>
      </c>
      <c r="C18" s="75" t="s">
        <v>43</v>
      </c>
      <c r="D18" s="75" t="s">
        <v>56</v>
      </c>
      <c r="E18" s="75" t="s">
        <v>223</v>
      </c>
      <c r="F18" s="76" t="n">
        <v>45690</v>
      </c>
      <c r="G18" s="76" t="n">
        <v>46015</v>
      </c>
      <c r="H18" s="75" t="s">
        <v>443</v>
      </c>
      <c r="I18" s="75" t="s">
        <v>38</v>
      </c>
      <c r="J18" s="75" t="s">
        <v>435</v>
      </c>
      <c r="K18" s="75" t="s">
        <v>436</v>
      </c>
    </row>
    <row r="19" customFormat="false" ht="15" hidden="false" customHeight="false" outlineLevel="0" collapsed="false">
      <c r="A19" s="77" t="s">
        <v>70</v>
      </c>
      <c r="B19" s="77" t="s">
        <v>215</v>
      </c>
      <c r="C19" s="77" t="s">
        <v>46</v>
      </c>
      <c r="D19" s="77" t="s">
        <v>56</v>
      </c>
      <c r="E19" s="77" t="s">
        <v>207</v>
      </c>
      <c r="F19" s="78" t="n">
        <v>45146</v>
      </c>
      <c r="G19" s="78" t="n">
        <v>45973</v>
      </c>
      <c r="H19" s="77" t="s">
        <v>440</v>
      </c>
      <c r="I19" s="77" t="s">
        <v>38</v>
      </c>
      <c r="J19" s="77" t="s">
        <v>436</v>
      </c>
      <c r="K19" s="77" t="s">
        <v>435</v>
      </c>
    </row>
    <row r="20" customFormat="false" ht="15" hidden="false" customHeight="false" outlineLevel="0" collapsed="false">
      <c r="A20" s="75" t="s">
        <v>59</v>
      </c>
      <c r="B20" s="75" t="s">
        <v>272</v>
      </c>
      <c r="C20" s="75" t="s">
        <v>41</v>
      </c>
      <c r="D20" s="75" t="s">
        <v>56</v>
      </c>
      <c r="E20" s="75" t="s">
        <v>143</v>
      </c>
      <c r="F20" s="76" t="n">
        <v>45211</v>
      </c>
      <c r="G20" s="76" t="n">
        <v>45992</v>
      </c>
      <c r="H20" s="75" t="s">
        <v>438</v>
      </c>
      <c r="I20" s="75" t="s">
        <v>38</v>
      </c>
      <c r="J20" s="75" t="s">
        <v>435</v>
      </c>
      <c r="K20" s="75" t="s">
        <v>436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123</v>
      </c>
      <c r="B1" s="0" t="s">
        <v>444</v>
      </c>
      <c r="C1" s="0" t="s">
        <v>445</v>
      </c>
      <c r="D1" s="0" t="s">
        <v>446</v>
      </c>
      <c r="E1" s="0" t="s">
        <v>447</v>
      </c>
      <c r="F1" s="0" t="s">
        <v>448</v>
      </c>
      <c r="G1" s="0" t="s">
        <v>449</v>
      </c>
      <c r="I1" s="0" t="s">
        <v>450</v>
      </c>
      <c r="J1" s="0" t="s">
        <v>451</v>
      </c>
      <c r="K1" s="0" t="s">
        <v>452</v>
      </c>
      <c r="M1" s="0" t="s">
        <v>123</v>
      </c>
      <c r="N1" s="0" t="s">
        <v>451</v>
      </c>
      <c r="P1" s="0" t="s">
        <v>358</v>
      </c>
      <c r="Q1" s="0" t="s">
        <v>451</v>
      </c>
    </row>
    <row r="2" customFormat="false" ht="15" hidden="false" customHeight="false" outlineLevel="0" collapsed="false">
      <c r="A2" s="0" t="s">
        <v>33</v>
      </c>
      <c r="B2" s="0" t="n">
        <f aca="false">COUNTIF('India Employee Database'!C:C,"Data Science")</f>
        <v>4</v>
      </c>
      <c r="C2" s="0" t="n">
        <f aca="false">COUNTIF('US Employee Database'!C:C,"Data Science")</f>
        <v>4</v>
      </c>
      <c r="D2" s="0" t="n">
        <f aca="false">B2+C2</f>
        <v>8</v>
      </c>
      <c r="E2" s="0" t="n">
        <f aca="false">IFERROR(AVERAGEIF(Productivity!C:C,"Data Science",Productivity!O:O),0)</f>
        <v>7.825</v>
      </c>
      <c r="F2" s="0" t="n">
        <f aca="false">IFERROR(SUMIF(Finance!C:C,"Data Science",Finance!E:E),0)</f>
        <v>12929682</v>
      </c>
      <c r="G2" s="0" t="n">
        <f aca="false">IFERROR(SUMIF(Finance!C:C,"Data Science",Finance!G:G),0)</f>
        <v>154846</v>
      </c>
      <c r="I2" s="0" t="s">
        <v>32</v>
      </c>
      <c r="J2" s="0" t="n">
        <f aca="false">COUNTIF('Offboarded Resources'!I:I,"Q1-2025")</f>
        <v>4</v>
      </c>
      <c r="K2" s="0" t="n">
        <f aca="false">IFERROR(J2/(COUNTA('India Employee Database'!A:A)-1+COUNTA('US Employee Database'!A:A)-1)*100,0)</f>
        <v>4</v>
      </c>
      <c r="M2" s="0" t="s">
        <v>33</v>
      </c>
      <c r="N2" s="0" t="n">
        <f aca="false">COUNTIF('Offboarded Resources'!C:C,"Data Science")</f>
        <v>2</v>
      </c>
      <c r="P2" s="0" t="s">
        <v>56</v>
      </c>
      <c r="Q2" s="0" t="n">
        <f aca="false">COUNTIF('Offboarded Resources'!D:D,"India")</f>
        <v>14</v>
      </c>
    </row>
    <row r="3" customFormat="false" ht="15" hidden="false" customHeight="false" outlineLevel="0" collapsed="false">
      <c r="A3" s="0" t="s">
        <v>35</v>
      </c>
      <c r="B3" s="0" t="n">
        <f aca="false">COUNTIF('India Employee Database'!C:C,"Design")</f>
        <v>8</v>
      </c>
      <c r="C3" s="0" t="n">
        <f aca="false">COUNTIF('US Employee Database'!C:C,"Design")</f>
        <v>3</v>
      </c>
      <c r="D3" s="0" t="n">
        <f aca="false">B3+C3</f>
        <v>11</v>
      </c>
      <c r="E3" s="0" t="n">
        <f aca="false">IFERROR(AVERAGEIF(Productivity!C:C,"Design",Productivity!O:O),0)</f>
        <v>8.8</v>
      </c>
      <c r="F3" s="0" t="n">
        <f aca="false">IFERROR(SUMIF(Finance!C:C,"Design",Finance!E:E),0)</f>
        <v>17664407</v>
      </c>
      <c r="G3" s="0" t="n">
        <f aca="false">IFERROR(SUMIF(Finance!C:C,"Design",Finance!G:G),0)</f>
        <v>211549</v>
      </c>
      <c r="I3" s="0" t="s">
        <v>34</v>
      </c>
      <c r="J3" s="0" t="n">
        <f aca="false">COUNTIF('Offboarded Resources'!I:I,"Q2-2025")</f>
        <v>5</v>
      </c>
      <c r="K3" s="0" t="n">
        <f aca="false">IFERROR(J3/(COUNTA('India Employee Database'!A:A)-1+COUNTA('US Employee Database'!A:A)-1)*100,0)</f>
        <v>5</v>
      </c>
      <c r="M3" s="0" t="s">
        <v>35</v>
      </c>
      <c r="N3" s="0" t="n">
        <f aca="false">COUNTIF('Offboarded Resources'!C:C,"Design")</f>
        <v>1</v>
      </c>
      <c r="P3" s="0" t="s">
        <v>62</v>
      </c>
      <c r="Q3" s="0" t="n">
        <f aca="false">COUNTIF('Offboarded Resources'!D:D,"US")</f>
        <v>5</v>
      </c>
    </row>
    <row r="4" customFormat="false" ht="15" hidden="false" customHeight="false" outlineLevel="0" collapsed="false">
      <c r="A4" s="0" t="s">
        <v>37</v>
      </c>
      <c r="B4" s="0" t="n">
        <f aca="false">COUNTIF('India Employee Database'!C:C,"Engineering")</f>
        <v>9</v>
      </c>
      <c r="C4" s="0" t="n">
        <f aca="false">COUNTIF('US Employee Database'!C:C,"Engineering")</f>
        <v>3</v>
      </c>
      <c r="D4" s="0" t="n">
        <f aca="false">B4+C4</f>
        <v>12</v>
      </c>
      <c r="E4" s="0" t="n">
        <f aca="false">IFERROR(AVERAGEIF(Productivity!C:C,"Engineering",Productivity!O:O),0)</f>
        <v>8.26666666666667</v>
      </c>
      <c r="F4" s="0" t="n">
        <f aca="false">IFERROR(SUMIF(Finance!C:C,"Engineering",Finance!E:E),0)</f>
        <v>17123051</v>
      </c>
      <c r="G4" s="0" t="n">
        <f aca="false">IFERROR(SUMIF(Finance!C:C,"Engineering",Finance!G:G),0)</f>
        <v>205067</v>
      </c>
      <c r="I4" s="0" t="s">
        <v>36</v>
      </c>
      <c r="J4" s="0" t="n">
        <f aca="false">COUNTIF('Offboarded Resources'!I:I,"Q3-2025")</f>
        <v>6</v>
      </c>
      <c r="K4" s="0" t="n">
        <f aca="false">IFERROR(J4/(COUNTA('India Employee Database'!A:A)-1+COUNTA('US Employee Database'!A:A)-1)*100,0)</f>
        <v>6</v>
      </c>
      <c r="M4" s="0" t="s">
        <v>37</v>
      </c>
      <c r="N4" s="0" t="n">
        <f aca="false">COUNTIF('Offboarded Resources'!C:C,"Engineering")</f>
        <v>3</v>
      </c>
    </row>
    <row r="5" customFormat="false" ht="15" hidden="false" customHeight="false" outlineLevel="0" collapsed="false">
      <c r="A5" s="0" t="s">
        <v>39</v>
      </c>
      <c r="B5" s="0" t="n">
        <f aca="false">COUNTIF('India Employee Database'!C:C,"Finance")</f>
        <v>9</v>
      </c>
      <c r="C5" s="0" t="n">
        <f aca="false">COUNTIF('US Employee Database'!C:C,"Finance")</f>
        <v>6</v>
      </c>
      <c r="D5" s="0" t="n">
        <f aca="false">B5+C5</f>
        <v>15</v>
      </c>
      <c r="E5" s="0" t="n">
        <f aca="false">IFERROR(AVERAGEIF(Productivity!C:C,"Finance",Productivity!O:O),0)</f>
        <v>8.46</v>
      </c>
      <c r="F5" s="0" t="n">
        <f aca="false">IFERROR(SUMIF(Finance!C:C,"Finance",Finance!E:E),0)</f>
        <v>28830623</v>
      </c>
      <c r="G5" s="0" t="n">
        <f aca="false">IFERROR(SUMIF(Finance!C:C,"Finance",Finance!G:G),0)</f>
        <v>345278</v>
      </c>
      <c r="I5" s="0" t="s">
        <v>38</v>
      </c>
      <c r="J5" s="0" t="n">
        <f aca="false">COUNTIF('Offboarded Resources'!I:I,"Q4-2025")</f>
        <v>4</v>
      </c>
      <c r="K5" s="0" t="n">
        <f aca="false">IFERROR(J5/(COUNTA('India Employee Database'!A:A)-1+COUNTA('US Employee Database'!A:A)-1)*100,0)</f>
        <v>4</v>
      </c>
      <c r="M5" s="0" t="s">
        <v>39</v>
      </c>
      <c r="N5" s="0" t="n">
        <f aca="false">COUNTIF('Offboarded Resources'!C:C,"Finance")</f>
        <v>2</v>
      </c>
    </row>
    <row r="6" customFormat="false" ht="15" hidden="false" customHeight="false" outlineLevel="0" collapsed="false">
      <c r="A6" s="0" t="s">
        <v>41</v>
      </c>
      <c r="B6" s="0" t="n">
        <f aca="false">COUNTIF('India Employee Database'!C:C,"HR")</f>
        <v>9</v>
      </c>
      <c r="C6" s="0" t="n">
        <f aca="false">COUNTIF('US Employee Database'!C:C,"HR")</f>
        <v>2</v>
      </c>
      <c r="D6" s="0" t="n">
        <f aca="false">B6+C6</f>
        <v>11</v>
      </c>
      <c r="E6" s="0" t="n">
        <f aca="false">IFERROR(AVERAGEIF(Productivity!C:C,"HR",Productivity!O:O),0)</f>
        <v>8.36363636363636</v>
      </c>
      <c r="F6" s="0" t="n">
        <f aca="false">IFERROR(SUMIF(Finance!C:C,"HR",Finance!E:E),0)</f>
        <v>13098651</v>
      </c>
      <c r="G6" s="0" t="n">
        <f aca="false">IFERROR(SUMIF(Finance!C:C,"HR",Finance!G:G),0)</f>
        <v>156870</v>
      </c>
      <c r="M6" s="0" t="s">
        <v>41</v>
      </c>
      <c r="N6" s="0" t="n">
        <f aca="false">COUNTIF('Offboarded Resources'!C:C,"HR")</f>
        <v>4</v>
      </c>
    </row>
    <row r="7" customFormat="false" ht="15" hidden="false" customHeight="false" outlineLevel="0" collapsed="false">
      <c r="A7" s="0" t="s">
        <v>42</v>
      </c>
      <c r="B7" s="0" t="n">
        <f aca="false">COUNTIF('India Employee Database'!C:C,"Legal")</f>
        <v>6</v>
      </c>
      <c r="C7" s="0" t="n">
        <f aca="false">COUNTIF('US Employee Database'!C:C,"Legal")</f>
        <v>2</v>
      </c>
      <c r="D7" s="0" t="n">
        <f aca="false">B7+C7</f>
        <v>8</v>
      </c>
      <c r="E7" s="0" t="n">
        <f aca="false">IFERROR(AVERAGEIF(Productivity!C:C,"Legal",Productivity!O:O),0)</f>
        <v>8.3625</v>
      </c>
      <c r="F7" s="0" t="n">
        <f aca="false">IFERROR(SUMIF(Finance!C:C,"Legal",Finance!E:E),0)</f>
        <v>14485442</v>
      </c>
      <c r="G7" s="0" t="n">
        <f aca="false">IFERROR(SUMIF(Finance!C:C,"Legal",Finance!G:G),0)</f>
        <v>173479</v>
      </c>
      <c r="M7" s="0" t="s">
        <v>42</v>
      </c>
      <c r="N7" s="0" t="n">
        <f aca="false">COUNTIF('Offboarded Resources'!C:C,"Legal")</f>
        <v>0</v>
      </c>
    </row>
    <row r="8" customFormat="false" ht="15" hidden="false" customHeight="false" outlineLevel="0" collapsed="false">
      <c r="A8" s="0" t="s">
        <v>43</v>
      </c>
      <c r="B8" s="0" t="n">
        <f aca="false">COUNTIF('India Employee Database'!C:C,"Marketing")</f>
        <v>6</v>
      </c>
      <c r="C8" s="0" t="n">
        <f aca="false">COUNTIF('US Employee Database'!C:C,"Marketing")</f>
        <v>2</v>
      </c>
      <c r="D8" s="0" t="n">
        <f aca="false">B8+C8</f>
        <v>8</v>
      </c>
      <c r="E8" s="0" t="n">
        <f aca="false">IFERROR(AVERAGEIF(Productivity!C:C,"Marketing",Productivity!O:O),0)</f>
        <v>8.5125</v>
      </c>
      <c r="F8" s="0" t="n">
        <f aca="false">IFERROR(SUMIF(Finance!C:C,"Marketing",Finance!E:E),0)</f>
        <v>10882143</v>
      </c>
      <c r="G8" s="0" t="n">
        <f aca="false">IFERROR(SUMIF(Finance!C:C,"Marketing",Finance!G:G),0)</f>
        <v>130325</v>
      </c>
      <c r="M8" s="0" t="s">
        <v>43</v>
      </c>
      <c r="N8" s="0" t="n">
        <f aca="false">COUNTIF('Offboarded Resources'!C:C,"Marketing")</f>
        <v>2</v>
      </c>
    </row>
    <row r="9" customFormat="false" ht="15" hidden="false" customHeight="false" outlineLevel="0" collapsed="false">
      <c r="A9" s="0" t="s">
        <v>44</v>
      </c>
      <c r="B9" s="0" t="n">
        <f aca="false">COUNTIF('India Employee Database'!C:C,"Operations")</f>
        <v>3</v>
      </c>
      <c r="C9" s="0" t="n">
        <f aca="false">COUNTIF('US Employee Database'!C:C,"Operations")</f>
        <v>4</v>
      </c>
      <c r="D9" s="0" t="n">
        <f aca="false">B9+C9</f>
        <v>7</v>
      </c>
      <c r="E9" s="0" t="n">
        <f aca="false">IFERROR(AVERAGEIF(Productivity!C:C,"Operations",Productivity!O:O),0)</f>
        <v>8.32857142857143</v>
      </c>
      <c r="F9" s="0" t="n">
        <f aca="false">IFERROR(SUMIF(Finance!C:C,"Operations",Finance!E:E),0)</f>
        <v>12118039</v>
      </c>
      <c r="G9" s="0" t="n">
        <f aca="false">IFERROR(SUMIF(Finance!C:C,"Operations",Finance!G:G),0)</f>
        <v>145125</v>
      </c>
      <c r="M9" s="0" t="s">
        <v>44</v>
      </c>
      <c r="N9" s="0" t="n">
        <f aca="false">COUNTIF('Offboarded Resources'!C:C,"Operations")</f>
        <v>1</v>
      </c>
    </row>
    <row r="10" customFormat="false" ht="15" hidden="false" customHeight="false" outlineLevel="0" collapsed="false">
      <c r="A10" s="0" t="s">
        <v>45</v>
      </c>
      <c r="B10" s="0" t="n">
        <f aca="false">COUNTIF('India Employee Database'!C:C,"Product")</f>
        <v>9</v>
      </c>
      <c r="C10" s="0" t="n">
        <f aca="false">COUNTIF('US Employee Database'!C:C,"Product")</f>
        <v>3</v>
      </c>
      <c r="D10" s="0" t="n">
        <f aca="false">B10+C10</f>
        <v>12</v>
      </c>
      <c r="E10" s="0" t="n">
        <f aca="false">IFERROR(AVERAGEIF(Productivity!C:C,"Product",Productivity!O:O),0)</f>
        <v>8.06666666666667</v>
      </c>
      <c r="F10" s="0" t="n">
        <f aca="false">IFERROR(SUMIF(Finance!C:C,"Product",Finance!E:E),0)</f>
        <v>18981459</v>
      </c>
      <c r="G10" s="0" t="n">
        <f aca="false">IFERROR(SUMIF(Finance!C:C,"Product",Finance!G:G),0)</f>
        <v>227323</v>
      </c>
      <c r="M10" s="0" t="s">
        <v>45</v>
      </c>
      <c r="N10" s="0" t="n">
        <f aca="false">COUNTIF('Offboarded Resources'!C:C,"Product")</f>
        <v>1</v>
      </c>
    </row>
    <row r="11" customFormat="false" ht="15" hidden="false" customHeight="false" outlineLevel="0" collapsed="false">
      <c r="A11" s="0" t="s">
        <v>46</v>
      </c>
      <c r="B11" s="0" t="n">
        <f aca="false">COUNTIF('India Employee Database'!C:C,"Sales")</f>
        <v>7</v>
      </c>
      <c r="C11" s="0" t="n">
        <f aca="false">COUNTIF('US Employee Database'!C:C,"Sales")</f>
        <v>1</v>
      </c>
      <c r="D11" s="0" t="n">
        <f aca="false">B11+C11</f>
        <v>8</v>
      </c>
      <c r="E11" s="0" t="n">
        <f aca="false">IFERROR(AVERAGEIF(Productivity!C:C,"Sales",Productivity!O:O),0)</f>
        <v>8.275</v>
      </c>
      <c r="F11" s="0" t="n">
        <f aca="false">IFERROR(SUMIF(Finance!C:C,"Sales",Finance!E:E),0)</f>
        <v>10790294</v>
      </c>
      <c r="G11" s="0" t="n">
        <f aca="false">IFERROR(SUMIF(Finance!C:C,"Sales",Finance!G:G),0)</f>
        <v>129225</v>
      </c>
      <c r="M11" s="0" t="s">
        <v>46</v>
      </c>
      <c r="N11" s="0" t="n">
        <f aca="false">COUNTIF('Offboarded Resources'!C:C,"Sales")</f>
        <v>3</v>
      </c>
    </row>
    <row r="30" customFormat="false" ht="15" hidden="false" customHeight="false" outlineLevel="0" collapsed="false">
      <c r="A30" s="0" t="s">
        <v>453</v>
      </c>
    </row>
    <row r="31" customFormat="false" ht="15" hidden="false" customHeight="false" outlineLevel="0" collapsed="false">
      <c r="A31" s="0" t="s">
        <v>454</v>
      </c>
      <c r="B31" s="0" t="s">
        <v>455</v>
      </c>
      <c r="C31" s="0" t="s">
        <v>456</v>
      </c>
      <c r="D31" s="0" t="s">
        <v>358</v>
      </c>
      <c r="E31" s="0" t="s">
        <v>457</v>
      </c>
      <c r="F31" s="0" t="s">
        <v>458</v>
      </c>
      <c r="G31" s="0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2026-05-12T18:06:49Z</dcterms:created>
  <dc:creator>openpyxl</dc:creator>
  <dc:description/>
  <dc:language>en-US</dc:language>
  <cp:lastModifiedBy/>
  <dcterms:modified xsi:type="dcterms:W3CDTF">2026-05-12T18:07:16Z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